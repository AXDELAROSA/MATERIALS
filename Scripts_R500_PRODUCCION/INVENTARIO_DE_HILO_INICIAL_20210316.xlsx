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jandrod\Documents\GitHub\MATERIALS\Scripts_R500_PRODUCCION\"/>
    </mc:Choice>
  </mc:AlternateContent>
  <xr:revisionPtr revIDLastSave="0" documentId="8_{7AC78FC8-52EC-47C0-B334-17896C36EE6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4" i="1"/>
  <c r="E15" i="1"/>
  <c r="F8" i="1"/>
  <c r="N8" i="1"/>
  <c r="N14" i="1"/>
  <c r="D15" i="1"/>
  <c r="N9" i="1"/>
  <c r="N10" i="1"/>
  <c r="N11" i="1"/>
  <c r="N12" i="1"/>
  <c r="N13" i="1"/>
  <c r="F15" i="1" l="1"/>
  <c r="N15" i="1"/>
</calcChain>
</file>

<file path=xl/sharedStrings.xml><?xml version="1.0" encoding="utf-8"?>
<sst xmlns="http://schemas.openxmlformats.org/spreadsheetml/2006/main" count="41" uniqueCount="26">
  <si>
    <t>DATE</t>
  </si>
  <si>
    <t>QUANTITY</t>
  </si>
  <si>
    <t>COLOR</t>
  </si>
  <si>
    <t>BLACK</t>
  </si>
  <si>
    <t>CARAMELO</t>
  </si>
  <si>
    <t>TUPELO</t>
  </si>
  <si>
    <t>COGNAC</t>
  </si>
  <si>
    <t>GREY SEAL</t>
  </si>
  <si>
    <t>BLUE AGAVE</t>
  </si>
  <si>
    <t>TOTAL:</t>
  </si>
  <si>
    <t>PROGRAM</t>
  </si>
  <si>
    <t>YL,WS</t>
  </si>
  <si>
    <t>JL,JT SUMMIT</t>
  </si>
  <si>
    <t>WL,WS</t>
  </si>
  <si>
    <t xml:space="preserve">WL </t>
  </si>
  <si>
    <t>YL obsoleto</t>
  </si>
  <si>
    <t>WS</t>
  </si>
  <si>
    <t xml:space="preserve">CASILLERO </t>
  </si>
  <si>
    <t>SUELTAS</t>
  </si>
  <si>
    <t xml:space="preserve">CAJA </t>
  </si>
  <si>
    <t>TOTAL</t>
  </si>
  <si>
    <t>DL</t>
  </si>
  <si>
    <t>LK5</t>
  </si>
  <si>
    <t xml:space="preserve">CONSUMO DIARIO </t>
  </si>
  <si>
    <t>TIEMPO DE DURACION</t>
  </si>
  <si>
    <t xml:space="preserve">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</si>
</sst>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/>
    <xf numFmtId="0" fontId="0" fillId="3" borderId="3" xfId="0" applyFill="1" applyBorder="1"/>
    <xf numFmtId="164" fontId="0" fillId="3" borderId="1" xfId="0" applyNumberForma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N29"/>
  <sheetViews>
    <sheetView tabSelected="1" topLeftCell="A2" zoomScale="110" zoomScaleNormal="110" workbookViewId="0">
      <selection activeCell="E16" sqref="E16"/>
    </sheetView>
  </sheetViews>
  <sheetFormatPr baseColWidth="10" defaultColWidth="8.88671875" defaultRowHeight="14.4" x14ac:dyDescent="0.3"/>
  <cols>
    <col min="1" max="1" width="26.44140625" customWidth="1"/>
    <col min="2" max="2" width="19.88671875" customWidth="1"/>
    <col min="3" max="3" width="16.44140625" customWidth="1"/>
    <col min="4" max="4" width="13" customWidth="1"/>
    <col min="5" max="5" width="14.5546875" customWidth="1"/>
    <col min="6" max="6" width="8.109375" customWidth="1"/>
    <col min="7" max="7" width="5.5546875" bestFit="1" customWidth="1"/>
    <col min="8" max="8" width="10" customWidth="1"/>
    <col min="10" max="10" width="11.88671875" bestFit="1" customWidth="1"/>
    <col min="11" max="11" width="10.6640625" bestFit="1" customWidth="1"/>
  </cols>
  <sheetData>
    <row r="7" spans="1:14" ht="34.5" customHeight="1" x14ac:dyDescent="0.3">
      <c r="A7" s="1" t="s">
        <v>0</v>
      </c>
      <c r="B7" s="2" t="s">
        <v>2</v>
      </c>
      <c r="C7" s="2" t="s">
        <v>10</v>
      </c>
      <c r="D7" s="2" t="s">
        <v>1</v>
      </c>
      <c r="E7" s="12" t="s">
        <v>23</v>
      </c>
      <c r="F7" s="14" t="s">
        <v>24</v>
      </c>
      <c r="G7" s="14"/>
      <c r="J7" s="3" t="s">
        <v>2</v>
      </c>
      <c r="K7" s="3" t="s">
        <v>17</v>
      </c>
      <c r="L7" s="3" t="s">
        <v>18</v>
      </c>
      <c r="M7" s="3" t="s">
        <v>19</v>
      </c>
      <c r="N7" s="3" t="s">
        <v>20</v>
      </c>
    </row>
    <row r="8" spans="1:14" ht="18" customHeight="1" x14ac:dyDescent="0.3">
      <c r="A8" s="11">
        <v>44271</v>
      </c>
      <c r="B8" s="3" t="s">
        <v>3</v>
      </c>
      <c r="C8" s="3" t="s">
        <v>11</v>
      </c>
      <c r="D8" s="15">
        <v>264</v>
      </c>
      <c r="E8" s="3">
        <v>2</v>
      </c>
      <c r="F8" s="13">
        <f t="shared" ref="F8:F15" si="0">D8/E8</f>
        <v>132</v>
      </c>
      <c r="G8" s="13" t="s">
        <v>25</v>
      </c>
      <c r="J8" s="3" t="s">
        <v>3</v>
      </c>
      <c r="K8" s="7">
        <v>8</v>
      </c>
      <c r="L8" s="7">
        <v>0</v>
      </c>
      <c r="M8" s="8">
        <v>16</v>
      </c>
      <c r="N8" s="9">
        <f>M8*16+L8+K8</f>
        <v>264</v>
      </c>
    </row>
    <row r="9" spans="1:14" ht="18" customHeight="1" x14ac:dyDescent="0.3">
      <c r="A9" s="11">
        <v>44271</v>
      </c>
      <c r="B9" s="3" t="s">
        <v>4</v>
      </c>
      <c r="C9" s="3" t="s">
        <v>12</v>
      </c>
      <c r="D9" s="15">
        <v>83</v>
      </c>
      <c r="E9" s="3">
        <v>3</v>
      </c>
      <c r="F9" s="13">
        <f t="shared" si="0"/>
        <v>27.666666666666668</v>
      </c>
      <c r="G9" s="13" t="s">
        <v>25</v>
      </c>
      <c r="J9" s="3" t="s">
        <v>4</v>
      </c>
      <c r="K9" s="7">
        <v>8</v>
      </c>
      <c r="L9" s="7">
        <v>75</v>
      </c>
      <c r="M9" s="8">
        <v>0</v>
      </c>
      <c r="N9" s="9">
        <f t="shared" ref="N9:N14" si="1">M9*16+L9+K9</f>
        <v>83</v>
      </c>
    </row>
    <row r="10" spans="1:14" ht="18" customHeight="1" x14ac:dyDescent="0.3">
      <c r="A10" s="11">
        <v>44271</v>
      </c>
      <c r="B10" s="3" t="s">
        <v>5</v>
      </c>
      <c r="C10" s="3" t="s">
        <v>13</v>
      </c>
      <c r="D10" s="15">
        <v>57</v>
      </c>
      <c r="E10" s="3">
        <v>1</v>
      </c>
      <c r="F10" s="13">
        <f t="shared" si="0"/>
        <v>57</v>
      </c>
      <c r="G10" s="13" t="s">
        <v>25</v>
      </c>
      <c r="J10" s="3" t="s">
        <v>5</v>
      </c>
      <c r="K10" s="7">
        <v>1</v>
      </c>
      <c r="L10" s="7">
        <v>24</v>
      </c>
      <c r="M10" s="8">
        <v>2</v>
      </c>
      <c r="N10" s="9">
        <f t="shared" si="1"/>
        <v>57</v>
      </c>
    </row>
    <row r="11" spans="1:14" ht="18" customHeight="1" x14ac:dyDescent="0.3">
      <c r="A11" s="11">
        <v>44271</v>
      </c>
      <c r="B11" s="3" t="s">
        <v>6</v>
      </c>
      <c r="C11" s="3" t="s">
        <v>14</v>
      </c>
      <c r="D11" s="15">
        <v>170</v>
      </c>
      <c r="E11" s="3">
        <v>1</v>
      </c>
      <c r="F11" s="13">
        <f t="shared" si="0"/>
        <v>170</v>
      </c>
      <c r="G11" s="13" t="s">
        <v>25</v>
      </c>
      <c r="J11" s="3" t="s">
        <v>6</v>
      </c>
      <c r="K11" s="7">
        <v>8</v>
      </c>
      <c r="L11" s="7">
        <v>2</v>
      </c>
      <c r="M11" s="8">
        <v>10</v>
      </c>
      <c r="N11" s="9">
        <f t="shared" si="1"/>
        <v>170</v>
      </c>
    </row>
    <row r="12" spans="1:14" ht="18" customHeight="1" x14ac:dyDescent="0.3">
      <c r="A12" s="11">
        <v>44271</v>
      </c>
      <c r="B12" s="3" t="s">
        <v>7</v>
      </c>
      <c r="C12" s="3" t="s">
        <v>15</v>
      </c>
      <c r="D12" s="15">
        <v>64</v>
      </c>
      <c r="E12" s="3">
        <v>0</v>
      </c>
      <c r="F12" s="13">
        <v>0</v>
      </c>
      <c r="G12" s="13" t="s">
        <v>25</v>
      </c>
      <c r="J12" s="3" t="s">
        <v>7</v>
      </c>
      <c r="K12" s="7">
        <v>0</v>
      </c>
      <c r="L12" s="7">
        <v>0</v>
      </c>
      <c r="M12" s="8">
        <v>4</v>
      </c>
      <c r="N12" s="9">
        <f t="shared" si="1"/>
        <v>64</v>
      </c>
    </row>
    <row r="13" spans="1:14" ht="17.25" customHeight="1" x14ac:dyDescent="0.3">
      <c r="A13" s="11">
        <v>44271</v>
      </c>
      <c r="B13" s="3" t="s">
        <v>8</v>
      </c>
      <c r="C13" s="3" t="s">
        <v>16</v>
      </c>
      <c r="D13" s="15">
        <v>19</v>
      </c>
      <c r="E13" s="3">
        <v>0</v>
      </c>
      <c r="F13" s="13">
        <v>0</v>
      </c>
      <c r="G13" s="13" t="s">
        <v>25</v>
      </c>
      <c r="J13" s="3" t="s">
        <v>8</v>
      </c>
      <c r="K13" s="7">
        <v>0</v>
      </c>
      <c r="L13" s="7">
        <v>3</v>
      </c>
      <c r="M13" s="7">
        <v>1</v>
      </c>
      <c r="N13" s="9">
        <f t="shared" si="1"/>
        <v>19</v>
      </c>
    </row>
    <row r="14" spans="1:14" ht="17.25" customHeight="1" x14ac:dyDescent="0.3">
      <c r="A14" s="11">
        <v>44271</v>
      </c>
      <c r="B14" s="3" t="s">
        <v>22</v>
      </c>
      <c r="C14" s="3" t="s">
        <v>21</v>
      </c>
      <c r="D14" s="15">
        <v>8</v>
      </c>
      <c r="E14" s="3">
        <v>1</v>
      </c>
      <c r="F14" s="13">
        <f t="shared" si="0"/>
        <v>8</v>
      </c>
      <c r="G14" s="13" t="s">
        <v>25</v>
      </c>
      <c r="J14" s="3" t="s">
        <v>22</v>
      </c>
      <c r="K14" s="7">
        <v>3</v>
      </c>
      <c r="L14" s="7">
        <v>5</v>
      </c>
      <c r="M14" s="7">
        <v>0</v>
      </c>
      <c r="N14" s="9">
        <f t="shared" si="1"/>
        <v>8</v>
      </c>
    </row>
    <row r="15" spans="1:14" ht="17.25" customHeight="1" x14ac:dyDescent="0.3">
      <c r="B15" s="4" t="s">
        <v>9</v>
      </c>
      <c r="C15" s="4"/>
      <c r="D15" s="5">
        <f>SUM(D8:D14)</f>
        <v>665</v>
      </c>
      <c r="E15" s="3">
        <f>SUM(E8:E14)</f>
        <v>8</v>
      </c>
      <c r="F15" s="13">
        <f t="shared" si="0"/>
        <v>83.125</v>
      </c>
      <c r="G15" s="13" t="s">
        <v>25</v>
      </c>
      <c r="N15" s="10">
        <f>SUM(N8:N14)</f>
        <v>665</v>
      </c>
    </row>
    <row r="16" spans="1:14" ht="17.25" customHeight="1" x14ac:dyDescent="0.3"/>
    <row r="17" spans="2:3" ht="17.25" customHeight="1" x14ac:dyDescent="0.3"/>
    <row r="18" spans="2:3" ht="17.25" customHeight="1" x14ac:dyDescent="0.3"/>
    <row r="19" spans="2:3" ht="17.25" customHeight="1" x14ac:dyDescent="0.3"/>
    <row r="20" spans="2:3" ht="17.25" customHeight="1" x14ac:dyDescent="0.3"/>
    <row r="23" spans="2:3" x14ac:dyDescent="0.3">
      <c r="B23" s="6"/>
      <c r="C23" s="6"/>
    </row>
    <row r="24" spans="2:3" x14ac:dyDescent="0.3">
      <c r="B24" s="6"/>
      <c r="C24" s="6"/>
    </row>
    <row r="25" spans="2:3" x14ac:dyDescent="0.3">
      <c r="B25" s="6"/>
      <c r="C25" s="6"/>
    </row>
    <row r="26" spans="2:3" x14ac:dyDescent="0.3">
      <c r="B26" s="6"/>
      <c r="C26" s="6"/>
    </row>
    <row r="27" spans="2:3" x14ac:dyDescent="0.3">
      <c r="B27" s="6"/>
      <c r="C27" s="6"/>
    </row>
    <row r="28" spans="2:3" x14ac:dyDescent="0.3">
      <c r="B28" s="6"/>
      <c r="C28" s="6"/>
    </row>
    <row r="29" spans="2:3" x14ac:dyDescent="0.3">
      <c r="B29" s="6"/>
      <c r="C29" s="6"/>
    </row>
  </sheetData>
  <mergeCells count="1">
    <mergeCell ref="F7:G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dulcec</dc:creator>
  <cp:lastModifiedBy>Alejandro de la Rosa</cp:lastModifiedBy>
  <cp:lastPrinted>2021-03-05T15:35:42Z</cp:lastPrinted>
  <dcterms:created xsi:type="dcterms:W3CDTF">2021-02-14T16:36:49Z</dcterms:created>
  <dcterms:modified xsi:type="dcterms:W3CDTF">2021-03-16T17:35:15Z</dcterms:modified>
</cp:coreProperties>
</file>