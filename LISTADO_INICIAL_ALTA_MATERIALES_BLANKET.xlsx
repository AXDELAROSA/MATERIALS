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jandrod\Documents\GitHub\MATERIALS\"/>
    </mc:Choice>
  </mc:AlternateContent>
  <xr:revisionPtr revIDLastSave="0" documentId="13_ncr:1_{62225162-5DBB-43C2-92F6-BD6C7BDB7675}" xr6:coauthVersionLast="45" xr6:coauthVersionMax="45" xr10:uidLastSave="{00000000-0000-0000-0000-000000000000}"/>
  <bookViews>
    <workbookView xWindow="-120" yWindow="-120" windowWidth="29040" windowHeight="15840" tabRatio="220" activeTab="2" xr2:uid="{4AC2D1D3-BA54-402C-89E2-8E241129B71B}"/>
  </bookViews>
  <sheets>
    <sheet name="Hoja1" sheetId="1" r:id="rId1"/>
    <sheet name="Hoja2" sheetId="2" r:id="rId2"/>
    <sheet name="2020081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8" i="3" l="1"/>
  <c r="A49" i="3" s="1"/>
  <c r="A45" i="3"/>
  <c r="H11" i="3"/>
  <c r="H10" i="3"/>
  <c r="H9" i="3"/>
  <c r="H8" i="3"/>
  <c r="H7" i="3"/>
  <c r="H6" i="3"/>
  <c r="H5" i="3"/>
  <c r="H4" i="3"/>
  <c r="A49" i="2" l="1"/>
  <c r="A48" i="2"/>
  <c r="A45" i="2"/>
  <c r="H11" i="2" l="1"/>
  <c r="H10" i="2"/>
  <c r="H9" i="2"/>
  <c r="H8" i="2"/>
  <c r="H7" i="2"/>
  <c r="H5" i="2"/>
  <c r="H4" i="2"/>
  <c r="H6" i="2"/>
</calcChain>
</file>

<file path=xl/sharedStrings.xml><?xml version="1.0" encoding="utf-8"?>
<sst xmlns="http://schemas.openxmlformats.org/spreadsheetml/2006/main" count="491" uniqueCount="232">
  <si>
    <t>#ITEM</t>
  </si>
  <si>
    <t>D_ITEM</t>
  </si>
  <si>
    <t>TRADEMARK_ITEM</t>
  </si>
  <si>
    <t>JL KUFNER Q20077 100% PESF    </t>
  </si>
  <si>
    <t>BD1103NA71A150</t>
  </si>
  <si>
    <t>KTBD1103</t>
  </si>
  <si>
    <t>KUFNER TEXTILE CORPORATION</t>
  </si>
  <si>
    <t>GL BL WL QE0597 74%CV 26% PESF</t>
  </si>
  <si>
    <t>R179G46150</t>
  </si>
  <si>
    <t>KTR179G4</t>
  </si>
  <si>
    <t>ML WL QE2034 67%CV 33% PES    </t>
  </si>
  <si>
    <t>TK1080B1801095</t>
  </si>
  <si>
    <t>KTTK1080</t>
  </si>
  <si>
    <t>RU QE0505 20% PESF, 80% CV    </t>
  </si>
  <si>
    <t>R659G46150</t>
  </si>
  <si>
    <t>KTR659G4</t>
  </si>
  <si>
    <t>ML Q20117                     </t>
  </si>
  <si>
    <t>TX9080NA493A180</t>
  </si>
  <si>
    <t>KTTX9080</t>
  </si>
  <si>
    <t>LISTING HOPE GLOBAL</t>
  </si>
  <si>
    <t>Front Back</t>
  </si>
  <si>
    <t>H6230361</t>
  </si>
  <si>
    <t>Rear Back</t>
  </si>
  <si>
    <t>H6250340</t>
  </si>
  <si>
    <t>Front Cushion</t>
  </si>
  <si>
    <t>H6240369</t>
  </si>
  <si>
    <t>Rear Cushion</t>
  </si>
  <si>
    <t>H6260359</t>
  </si>
  <si>
    <t>chupon OBSOLETO</t>
  </si>
  <si>
    <t>FXI YL 2002389  10mm</t>
  </si>
  <si>
    <t>FXYL10M2</t>
  </si>
  <si>
    <t>FXI JL SUM 2013995  3 mm 27kg/M3 (1.7 PCF) PUR FOAM + TB16 WARP KNIT</t>
  </si>
  <si>
    <t>FXJL3MM2</t>
  </si>
  <si>
    <t>FXI WPI 2059662 63*3 MM UNBACKED SIN SCRIM</t>
  </si>
  <si>
    <t>A173-040 EL</t>
  </si>
  <si>
    <t>FXWPI3M0</t>
  </si>
  <si>
    <t>FXI RUWL 2114786  RU PINNACLE Y WLA173040EL  60*6mm  SPUNFAB</t>
  </si>
  <si>
    <t>A 173-040 EL</t>
  </si>
  <si>
    <t>FXRUWL62</t>
  </si>
  <si>
    <t>FXI WL 2100031 6mm Spunfab</t>
  </si>
  <si>
    <t>FXI WS A200060EL 6mm 3era fila</t>
  </si>
  <si>
    <t>FXWSA260</t>
  </si>
  <si>
    <t>PLMT6035-0600-1500-0109 WL MAGNA  6.5 mm</t>
  </si>
  <si>
    <t>MTWL06MM</t>
  </si>
  <si>
    <t>PLMT6126-1000-1570-0109 WS MAGNA  10 mm</t>
  </si>
  <si>
    <t>MTWL10MM</t>
  </si>
  <si>
    <t>TX7/DX9 T90 NEGRO WK YL</t>
  </si>
  <si>
    <t>BTT90DX9</t>
  </si>
  <si>
    <t>LK5 CARAMELO JL SUMMIT</t>
  </si>
  <si>
    <t>BTT90LK5</t>
  </si>
  <si>
    <t>WT5 TUPELO WL New</t>
  </si>
  <si>
    <t>BTT90WT5</t>
  </si>
  <si>
    <t>WU9 Coñac New</t>
  </si>
  <si>
    <t>BTT90WUC</t>
  </si>
  <si>
    <t>Blue Agave</t>
  </si>
  <si>
    <t>BTT90WA6</t>
  </si>
  <si>
    <t>SA5 GRIS YL</t>
  </si>
  <si>
    <t>BTT90SA5</t>
  </si>
  <si>
    <t>AMERICAN &amp; EFIRD</t>
  </si>
  <si>
    <t>MODEL_ITEM</t>
  </si>
  <si>
    <t>CLASE</t>
  </si>
  <si>
    <t>A200-060 EL SPUNFAB PA1541 0.9 OZ PE FILM 60"*6.00MM NO SCRIM</t>
  </si>
  <si>
    <t>A 200-060</t>
  </si>
  <si>
    <t>FOAM</t>
  </si>
  <si>
    <t>A 200-060 E</t>
  </si>
  <si>
    <t>ROW_MATERIAL</t>
  </si>
  <si>
    <t>A 173-040 EL 6MM 1.7 LB DENSITY FOAM WITH TB16 SCRIM BACKING &amp; SPUNFAB PA1541 09OZ</t>
  </si>
  <si>
    <t>A173040</t>
  </si>
  <si>
    <t>CLIMATE FLOW 250 6MM - 0.2362" X 48 " X 100"  25.7214 /EA  6.0 MM</t>
  </si>
  <si>
    <t>ZS25FRGE</t>
  </si>
  <si>
    <t>FZCF60MM</t>
  </si>
  <si>
    <t>FOAM RETICULADO</t>
  </si>
  <si>
    <t>THREAD WUC COGNAC T90</t>
  </si>
  <si>
    <t>HILO</t>
  </si>
  <si>
    <t>A173-040 EL 63*3.0 MM UNBACKED FOAM W/SPUNFAB PA1541 0.9 OZ.</t>
  </si>
  <si>
    <t>PA1541 0.9 OZ</t>
  </si>
  <si>
    <t>HEAVY WEIGTH PU WITH SICILY GRAIN - SD4</t>
  </si>
  <si>
    <t>HI-063XB-SD4</t>
  </si>
  <si>
    <t>F63XBSD4</t>
  </si>
  <si>
    <t>VINYL SEIREN</t>
  </si>
  <si>
    <t>HEAVY WEIGHT PU WITH SICILY GRAIN - WA6</t>
  </si>
  <si>
    <t>HI-066XB-WA6</t>
  </si>
  <si>
    <t>F66XBWA6</t>
  </si>
  <si>
    <t>HEAVY WEIGHT PU WITH SICILY GRAIN - WT5</t>
  </si>
  <si>
    <t>HI-063XB-WT5</t>
  </si>
  <si>
    <t>F63XBWT5</t>
  </si>
  <si>
    <t>HEAVY WEIGHT PU WITH SICILY GRAIN-TX7</t>
  </si>
  <si>
    <t>HI-066XV-TX7</t>
  </si>
  <si>
    <t>F66XVTX7</t>
  </si>
  <si>
    <t>CTN3117HD BLACK FABRIC CAPRICE TX7</t>
  </si>
  <si>
    <t>CTN3117HD</t>
  </si>
  <si>
    <t>FVFCATX7</t>
  </si>
  <si>
    <t>VINYL CGT</t>
  </si>
  <si>
    <t>CTN3120HD -DDT BLACK FABRIC CAPRICE SD4</t>
  </si>
  <si>
    <t>CTN3120HD -DDT</t>
  </si>
  <si>
    <t>FVFCASD4</t>
  </si>
  <si>
    <t>CTN3117HD BLACK FABRIC CAPRI - TX7</t>
  </si>
  <si>
    <t>CTN3117HD-TX7</t>
  </si>
  <si>
    <t>FVFCPRX7</t>
  </si>
  <si>
    <t>3 MESH SPACER FABRIC T6035, 6MM THICKNESS, 59´ ROLL WIDTH - BLACK  WITH SPUNFAB PA 1301 0.7 OSY (WEB</t>
  </si>
  <si>
    <t>MULLER</t>
  </si>
  <si>
    <t>T6035-0600-1500-0109WEBH</t>
  </si>
  <si>
    <t>KUFNER</t>
  </si>
  <si>
    <t>LISTING</t>
  </si>
  <si>
    <t>FOAM (ESPONJA)</t>
  </si>
  <si>
    <t>FXI</t>
  </si>
  <si>
    <t>MULLER TEXTILES INC</t>
  </si>
  <si>
    <t>D_ITEM_MATERIALES</t>
  </si>
  <si>
    <t>D_ITEM_ENGINEERING</t>
  </si>
  <si>
    <t>KUFNER TX9080NA493A (BLACK)</t>
  </si>
  <si>
    <t>3 MESH SPACER FABRIC T6126, 10MM THICKNESS, 59´ ROLL WIDTH - BLACK  WITH SPUNFAB PA 1301 0.7 OSY (WEB</t>
  </si>
  <si>
    <t>PART_#_VENDOR</t>
  </si>
  <si>
    <t>PART_#_PEARL</t>
  </si>
  <si>
    <t>A173040EL 3MM WITH SCRIM</t>
  </si>
  <si>
    <t>A2000 6MM NO SCRIM</t>
  </si>
  <si>
    <t>6mm</t>
  </si>
  <si>
    <t>WS - VINYL AL &amp;SL 3RD ROW</t>
  </si>
  <si>
    <t>WWS</t>
  </si>
  <si>
    <t>A173040EL 3MM NO SCRIM</t>
  </si>
  <si>
    <t>3mm</t>
  </si>
  <si>
    <t>WK-WD  (WPI)</t>
  </si>
  <si>
    <t>WPI</t>
  </si>
  <si>
    <t>JL (NAPPA CON QUILTING)</t>
  </si>
  <si>
    <t>JLS</t>
  </si>
  <si>
    <t>A173040EL 6MM WITH SCRIM</t>
  </si>
  <si>
    <t>RU PINNACLE (MAGNA)</t>
  </si>
  <si>
    <t>RDL</t>
  </si>
  <si>
    <t>FXIWPI3M0</t>
  </si>
  <si>
    <t>A173-040 EL 63*3.0 MM UNBACKED FOAM W/SPUNFA PA1541 0.9oz WPI</t>
  </si>
  <si>
    <t>A173040EL 60*6.0MM 1.7 DENSITY TB16 SCRIM BACKING W/SPUNFAB PA1541 0.9 oz.   RU</t>
  </si>
  <si>
    <t>FXIJL73040EL030</t>
  </si>
  <si>
    <t>A173-040EL  JL 60*3.0mm W/SPUN TB16 PA1541 9z</t>
  </si>
  <si>
    <t>FXIWK73040EL100</t>
  </si>
  <si>
    <t>A173-040 EL  WK 60*10.0 mm W/5847X</t>
  </si>
  <si>
    <t>4.6667/YD</t>
  </si>
  <si>
    <t>3.2190/YD</t>
  </si>
  <si>
    <t>A195-038EL 3.1MM</t>
  </si>
  <si>
    <t>A195-038EL 2.5MM</t>
  </si>
  <si>
    <t>A195038 EL 60*3.1MM W/TB16&amp;SPUNFAB 9OZ PA 1541</t>
  </si>
  <si>
    <t>A195038 EL 60*2.5MM W/SPUNFAB 9OZ PA 1541</t>
  </si>
  <si>
    <t>4.4487/LY</t>
  </si>
  <si>
    <t>3.7303/LY</t>
  </si>
  <si>
    <t>PRECIO/UOM</t>
  </si>
  <si>
    <t>PEARL NUMBER PARA IDENTIFICAR EL MATERIAL POR PARTE DE FXI</t>
  </si>
  <si>
    <t>NOMBRE EN RELEASE</t>
  </si>
  <si>
    <t>NOMBRE EN FACTURAS</t>
  </si>
  <si>
    <t>A173-040EL 60*3.0mm W/SPUN TB16 9OZ-TB16</t>
  </si>
  <si>
    <t>A173-040 EL 60*3.0 MM SPUNFAB</t>
  </si>
  <si>
    <t>5.5933/LY</t>
  </si>
  <si>
    <t>A173040EL 60*6.0MM PA1541 9OZ/TB16</t>
  </si>
  <si>
    <t>1246 - FXWSA190</t>
  </si>
  <si>
    <t>67 - FXIRUWL62</t>
  </si>
  <si>
    <t>82 - FXIWPI3M0</t>
  </si>
  <si>
    <t>ITEM - PEARL# PART</t>
  </si>
  <si>
    <t>ITEM FXI</t>
  </si>
  <si>
    <t>- FXJL3MM2</t>
  </si>
  <si>
    <t xml:space="preserve">1041 - </t>
  </si>
  <si>
    <t>A173040EL 60*10MM W.5847X</t>
  </si>
  <si>
    <t xml:space="preserve"> - FXYL10M2 - FCXI173</t>
  </si>
  <si>
    <t>4.5543/LY</t>
  </si>
  <si>
    <t>PROVEEDOR</t>
  </si>
  <si>
    <t>DESCRIPCION</t>
  </si>
  <si>
    <t>IDENTIFICACION DE  MATERIALES( MANUEL G)</t>
  </si>
  <si>
    <t>#PART PROVEEDOR</t>
  </si>
  <si>
    <t>#PART PEARL</t>
  </si>
  <si>
    <t>FXI </t>
  </si>
  <si>
    <t>A173-040 EL 10 MM 27KG/M3 (1.7PCF) PUR FOAM + SCRIM +SPUNFAB ADHESIVE</t>
  </si>
  <si>
    <t>A173-040 EL 3MM 27KG/M3 (1.7PCF) PUR FOAM + SCRIM +SPUNFAB ADHESIVE</t>
  </si>
  <si>
    <t>A  200-060</t>
  </si>
  <si>
    <t>A2000-060 EL SPUNFAB PA1541 , 0.9OZ 60”X 6.00 MM , WITH TB16 SCRIM</t>
  </si>
  <si>
    <t>FXWSA262</t>
  </si>
  <si>
    <t>A195-038 EL FOAM SPUNFAB PA1541 0.9OZ. 0.0984" X 60" 2.5MM - UNBACKED</t>
  </si>
  <si>
    <t>FXWSA190</t>
  </si>
  <si>
    <t>A195-038 EL FOAM TB16 (ADHESIVE) SPUNFAB PA1541 0.9OZ. 0.1220" X  60"  3.1 MM</t>
  </si>
  <si>
    <t>FXWSA193</t>
  </si>
  <si>
    <t>3 MESH SPACER FABRIC T6035, 6MM THICKNESS, 59´ ROLL WIDTH - BLACK  WITH SPUNFAB PA 1301 0.7 OSY (WEB)</t>
  </si>
  <si>
    <t>T6035-0600-1500-0109 WEBH</t>
  </si>
  <si>
    <t>3 MESH SPACER FABRIC T6126, 10MM THICKNESS, 59´ ROLL WIDTH - BLACK  WITH SPUNFAB PA 1301 0.7 OSY (WEB)</t>
  </si>
  <si>
    <t>T6126-1000-1570-0109 WEBH</t>
  </si>
  <si>
    <t>D4922-35-270(77003 6230361)</t>
  </si>
  <si>
    <t>HGFSB361</t>
  </si>
  <si>
    <t>D4922-45-250(77006 6250340)</t>
  </si>
  <si>
    <t>HGRSB340</t>
  </si>
  <si>
    <t>D4922-40-270(77009 6240369)</t>
  </si>
  <si>
    <t>HGFSC369</t>
  </si>
  <si>
    <t>D4922-45-265 (77016 6260359 (2)</t>
  </si>
  <si>
    <t>HGRSC359</t>
  </si>
  <si>
    <t>KUFNER BD1103NA71A150 (BLACK)</t>
  </si>
  <si>
    <t>KUFNER R179G46150 (BLACK)</t>
  </si>
  <si>
    <t>KUFNER TK1080B1801095 (BLACK)</t>
  </si>
  <si>
    <t>KUFNER R659G46150 (BLACK)</t>
  </si>
  <si>
    <t>THREAD T90 BLACK TX7/DX9</t>
  </si>
  <si>
    <t>AET90DX9</t>
  </si>
  <si>
    <t>THREAD T90 CARAMEL LK5</t>
  </si>
  <si>
    <t>AET90LK5</t>
  </si>
  <si>
    <t>THREAD T90 TUPELO WT5</t>
  </si>
  <si>
    <t>AET90WT5</t>
  </si>
  <si>
    <t>THREAD T90 COGNAC WU9</t>
  </si>
  <si>
    <t>AET90WUC</t>
  </si>
  <si>
    <t>THREAD T90 BLUE AGAVE WA6</t>
  </si>
  <si>
    <r>
      <t>AET9</t>
    </r>
    <r>
      <rPr>
        <sz val="11"/>
        <color rgb="FFFF0000"/>
        <rFont val="Calibri"/>
        <family val="2"/>
      </rPr>
      <t>0WA6</t>
    </r>
  </si>
  <si>
    <t>THREAD T90 SEA SALT SA5</t>
  </si>
  <si>
    <t>AET90SA5</t>
  </si>
  <si>
    <t>RETICULADO</t>
  </si>
  <si>
    <t>FXCF60MM</t>
  </si>
  <si>
    <t>VS63XSD4</t>
  </si>
  <si>
    <t>VS66BWA6</t>
  </si>
  <si>
    <t>VS63BWT5</t>
  </si>
  <si>
    <t>VS66VTX7</t>
  </si>
  <si>
    <t>VCFCATX7</t>
  </si>
  <si>
    <t>VCFCASD4</t>
  </si>
  <si>
    <t>VCFCPRX7</t>
  </si>
  <si>
    <t>#ITEM PEARL</t>
  </si>
  <si>
    <t>FXIRUWL62</t>
  </si>
  <si>
    <t>FXYL10M2 - FCXI173</t>
  </si>
  <si>
    <t>A195-038 EL</t>
  </si>
  <si>
    <t>FXIWPI 2059662 63*3 MM UNBACKED SIN SCRIM</t>
  </si>
  <si>
    <t>SISTEMAS PEARL</t>
  </si>
  <si>
    <t>FXIJLSUM 2013995 3mm 27kg/M3(1.7PCF) PUR FOAM+TB16</t>
  </si>
  <si>
    <t>FXIRUWL 2114786 RUPIN Y WLA173040EL 60*6mm SPUNFAB</t>
  </si>
  <si>
    <t>A2000-060EL SPUNF PA1541 .9OZ 60X6MM, W/TB16 SCRIM</t>
  </si>
  <si>
    <t>A200-060 EL</t>
  </si>
  <si>
    <t>D4922-35-270</t>
  </si>
  <si>
    <t>D4922-45-250</t>
  </si>
  <si>
    <t>D4922-40-270</t>
  </si>
  <si>
    <t>D4922-45-265</t>
  </si>
  <si>
    <t>D4922-35-270 (40X270MM) CLEAR BEAD</t>
  </si>
  <si>
    <t>D4922-40-270 (45X280MM) BLUE BEAD</t>
  </si>
  <si>
    <t>D4922-45-250 (55X250MM) CLEAR BEAD</t>
  </si>
  <si>
    <t>D4922-45-265 (55X265MM) BLUE BEAD</t>
  </si>
  <si>
    <t>lb</t>
  </si>
  <si>
    <t>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</si>
</sst>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6100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sz val="10"/>
      <color theme="1"/>
      <name val="Times New Roman"/>
      <family val="1"/>
    </font>
    <font>
      <b/>
      <sz val="14"/>
      <color rgb="FFFFFFFF"/>
      <name val="Calibri"/>
      <family val="2"/>
    </font>
    <font>
      <sz val="11"/>
      <color rgb="FFFF0000"/>
      <name val="Calibri"/>
      <family val="2"/>
    </font>
    <font>
      <sz val="10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rgb="FF70AD47"/>
      </left>
      <right style="medium">
        <color rgb="FF70AD47"/>
      </right>
      <top style="medium">
        <color rgb="FF70AD47"/>
      </top>
      <bottom style="medium">
        <color rgb="FF70AD47"/>
      </bottom>
      <diagonal/>
    </border>
    <border>
      <left/>
      <right style="medium">
        <color rgb="FF70AD47"/>
      </right>
      <top style="medium">
        <color rgb="FF70AD47"/>
      </top>
      <bottom style="medium">
        <color rgb="FF70AD47"/>
      </bottom>
      <diagonal/>
    </border>
    <border>
      <left style="medium">
        <color rgb="FF70AD47"/>
      </left>
      <right style="medium">
        <color rgb="FF70AD47"/>
      </right>
      <top/>
      <bottom style="medium">
        <color rgb="FF70AD47"/>
      </bottom>
      <diagonal/>
    </border>
    <border>
      <left/>
      <right style="medium">
        <color rgb="FF70AD47"/>
      </right>
      <top/>
      <bottom style="medium">
        <color rgb="FF70AD47"/>
      </bottom>
      <diagonal/>
    </border>
    <border>
      <left/>
      <right/>
      <top/>
      <bottom style="medium">
        <color rgb="FF70AD47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vertical="center"/>
    </xf>
    <xf numFmtId="0" fontId="1" fillId="3" borderId="4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vertical="center"/>
    </xf>
    <xf numFmtId="0" fontId="6" fillId="4" borderId="13" xfId="0" applyFont="1" applyFill="1" applyBorder="1" applyAlignment="1">
      <alignment horizontal="center" vertical="center" wrapText="1"/>
    </xf>
    <xf numFmtId="0" fontId="2" fillId="0" borderId="11" xfId="0" applyFont="1" applyFill="1" applyBorder="1" applyAlignment="1">
      <alignment vertical="center"/>
    </xf>
    <xf numFmtId="0" fontId="5" fillId="0" borderId="11" xfId="0" applyFont="1" applyFill="1" applyBorder="1" applyAlignment="1">
      <alignment vertical="center"/>
    </xf>
    <xf numFmtId="0" fontId="0" fillId="0" borderId="0" xfId="0" applyFill="1"/>
    <xf numFmtId="0" fontId="0" fillId="0" borderId="0" xfId="0" applyAlignment="1">
      <alignment horizontal="left" vertical="center"/>
    </xf>
    <xf numFmtId="0" fontId="2" fillId="0" borderId="10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6" fillId="4" borderId="13" xfId="0" applyFont="1" applyFill="1" applyBorder="1" applyAlignment="1">
      <alignment horizontal="left" vertical="center"/>
    </xf>
    <xf numFmtId="0" fontId="6" fillId="4" borderId="13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6" fillId="4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/>
    </xf>
    <xf numFmtId="0" fontId="1" fillId="5" borderId="0" xfId="0" applyFont="1" applyFill="1" applyBorder="1" applyAlignment="1">
      <alignment horizontal="left" vertical="center"/>
    </xf>
    <xf numFmtId="0" fontId="0" fillId="5" borderId="0" xfId="0" applyFill="1"/>
    <xf numFmtId="0" fontId="1" fillId="5" borderId="4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vertical="center" wrapText="1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/>
    <xf numFmtId="0" fontId="1" fillId="0" borderId="4" xfId="0" applyFont="1" applyFill="1" applyBorder="1" applyAlignment="1">
      <alignment horizontal="left" vertical="center"/>
    </xf>
    <xf numFmtId="0" fontId="7" fillId="0" borderId="4" xfId="0" applyFont="1" applyFill="1" applyBorder="1" applyAlignment="1">
      <alignment horizontal="left" vertical="center"/>
    </xf>
    <xf numFmtId="0" fontId="7" fillId="0" borderId="4" xfId="0" applyFont="1" applyFill="1" applyBorder="1" applyAlignment="1">
      <alignment vertical="center"/>
    </xf>
    <xf numFmtId="0" fontId="7" fillId="0" borderId="4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/>
    <xf numFmtId="0" fontId="1" fillId="0" borderId="5" xfId="0" applyFont="1" applyFill="1" applyBorder="1" applyAlignment="1">
      <alignment vertical="center"/>
    </xf>
    <xf numFmtId="0" fontId="1" fillId="0" borderId="5" xfId="0" applyFont="1" applyFill="1" applyBorder="1" applyAlignment="1">
      <alignment horizontal="center" vertical="center"/>
    </xf>
    <xf numFmtId="0" fontId="0" fillId="2" borderId="0" xfId="0" quotePrefix="1" applyFill="1" applyAlignment="1">
      <alignment horizontal="center" vertical="center"/>
    </xf>
    <xf numFmtId="0" fontId="0" fillId="5" borderId="0" xfId="0" quotePrefix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0" xfId="0" applyFill="1"/>
    <xf numFmtId="0" fontId="1" fillId="6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/>
    </xf>
    <xf numFmtId="0" fontId="7" fillId="6" borderId="4" xfId="0" applyFont="1" applyFill="1" applyBorder="1" applyAlignment="1">
      <alignment vertical="center"/>
    </xf>
    <xf numFmtId="0" fontId="7" fillId="6" borderId="4" xfId="0" applyFont="1" applyFill="1" applyBorder="1" applyAlignment="1">
      <alignment horizontal="center" vertical="center"/>
    </xf>
    <xf numFmtId="0" fontId="0" fillId="0" borderId="0" xfId="0" applyFill="1" applyAlignment="1">
      <alignment horizontal="left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vertical="center"/>
    </xf>
    <xf numFmtId="0" fontId="1" fillId="0" borderId="4" xfId="0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0" xfId="0" applyFill="1" applyAlignment="1">
      <alignment horizontal="left"/>
    </xf>
    <xf numFmtId="0" fontId="0" fillId="7" borderId="0" xfId="0" applyFill="1"/>
    <xf numFmtId="0" fontId="1" fillId="7" borderId="3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left" vertical="center" wrapText="1"/>
    </xf>
    <xf numFmtId="0" fontId="1" fillId="7" borderId="4" xfId="0" applyFont="1" applyFill="1" applyBorder="1" applyAlignment="1">
      <alignment vertical="center"/>
    </xf>
    <xf numFmtId="0" fontId="1" fillId="7" borderId="4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11" fillId="9" borderId="1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3" fillId="10" borderId="4" xfId="0" applyFont="1" applyFill="1" applyBorder="1" applyAlignment="1">
      <alignment vertical="center"/>
    </xf>
    <xf numFmtId="0" fontId="3" fillId="10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vertical="center" wrapText="1"/>
    </xf>
    <xf numFmtId="0" fontId="3" fillId="10" borderId="4" xfId="0" applyFont="1" applyFill="1" applyBorder="1" applyAlignment="1">
      <alignment vertical="center" wrapText="1"/>
    </xf>
    <xf numFmtId="0" fontId="5" fillId="10" borderId="0" xfId="0" applyFont="1" applyFill="1" applyAlignment="1">
      <alignment vertical="center"/>
    </xf>
    <xf numFmtId="0" fontId="3" fillId="10" borderId="0" xfId="0" applyFont="1" applyFill="1" applyAlignment="1">
      <alignment vertical="center" wrapText="1"/>
    </xf>
    <xf numFmtId="0" fontId="10" fillId="0" borderId="0" xfId="0" applyFont="1"/>
    <xf numFmtId="0" fontId="3" fillId="10" borderId="0" xfId="0" applyFont="1" applyFill="1" applyAlignment="1">
      <alignment vertical="center"/>
    </xf>
    <xf numFmtId="0" fontId="3" fillId="0" borderId="2" xfId="0" applyFont="1" applyBorder="1" applyAlignment="1">
      <alignment vertical="center" wrapText="1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2" fillId="0" borderId="2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3" fillId="10" borderId="2" xfId="0" applyFont="1" applyFill="1" applyBorder="1" applyAlignment="1">
      <alignment vertical="center"/>
    </xf>
    <xf numFmtId="0" fontId="3" fillId="10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3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10" borderId="3" xfId="0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10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12" fillId="0" borderId="4" xfId="0" applyFont="1" applyBorder="1" applyAlignment="1">
      <alignment vertical="center"/>
    </xf>
    <xf numFmtId="0" fontId="12" fillId="10" borderId="4" xfId="0" applyFont="1" applyFill="1" applyBorder="1" applyAlignment="1">
      <alignment vertical="center"/>
    </xf>
    <xf numFmtId="0" fontId="12" fillId="2" borderId="4" xfId="0" applyFont="1" applyFill="1" applyBorder="1" applyAlignment="1">
      <alignment vertical="center"/>
    </xf>
    <xf numFmtId="0" fontId="0" fillId="11" borderId="0" xfId="0" applyFill="1"/>
    <xf numFmtId="0" fontId="0" fillId="11" borderId="0" xfId="0" applyFill="1" applyAlignment="1">
      <alignment horizontal="left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9" fillId="8" borderId="8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 wrapText="1"/>
    </xf>
    <xf numFmtId="0" fontId="5" fillId="10" borderId="7" xfId="0" applyFont="1" applyFill="1" applyBorder="1" applyAlignment="1">
      <alignment horizontal="center" vertical="center" wrapText="1"/>
    </xf>
    <xf numFmtId="0" fontId="5" fillId="10" borderId="15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0" borderId="15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vertical="center"/>
    </xf>
    <xf numFmtId="0" fontId="0" fillId="11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28BA-780B-48A8-B551-D300CD466D30}">
  <dimension ref="A1:L58"/>
  <sheetViews>
    <sheetView topLeftCell="B37" zoomScaleNormal="100" workbookViewId="0">
      <selection activeCell="E55" sqref="E55"/>
    </sheetView>
  </sheetViews>
  <sheetFormatPr baseColWidth="10" defaultRowHeight="15" x14ac:dyDescent="0.25"/>
  <cols>
    <col min="2" max="2" width="12.7109375" style="5" bestFit="1" customWidth="1"/>
    <col min="3" max="3" width="66.85546875" style="5" customWidth="1"/>
    <col min="4" max="4" width="62.28515625" customWidth="1"/>
    <col min="5" max="6" width="25.42578125" customWidth="1"/>
    <col min="7" max="7" width="19.42578125" customWidth="1"/>
    <col min="8" max="8" width="32.85546875" customWidth="1"/>
    <col min="9" max="9" width="42.42578125" bestFit="1" customWidth="1"/>
    <col min="10" max="10" width="23.85546875" customWidth="1"/>
  </cols>
  <sheetData>
    <row r="1" spans="2:9" s="16" customFormat="1" ht="15.75" thickBot="1" x14ac:dyDescent="0.3">
      <c r="B1" s="18" t="s">
        <v>0</v>
      </c>
      <c r="C1" s="2" t="s">
        <v>108</v>
      </c>
      <c r="D1" s="14" t="s">
        <v>1</v>
      </c>
      <c r="E1" s="14" t="s">
        <v>111</v>
      </c>
      <c r="F1" s="14" t="s">
        <v>112</v>
      </c>
      <c r="G1" s="15" t="s">
        <v>2</v>
      </c>
      <c r="H1" s="14" t="s">
        <v>59</v>
      </c>
      <c r="I1" s="14" t="s">
        <v>60</v>
      </c>
    </row>
    <row r="2" spans="2:9" ht="15.75" customHeight="1" thickBot="1" x14ac:dyDescent="0.3">
      <c r="B2" s="19">
        <v>28</v>
      </c>
      <c r="C2" s="12" t="s">
        <v>61</v>
      </c>
      <c r="D2" s="22"/>
      <c r="E2" s="26" t="s">
        <v>62</v>
      </c>
      <c r="F2" s="26" t="s">
        <v>41</v>
      </c>
      <c r="G2" s="27" t="s">
        <v>63</v>
      </c>
      <c r="H2" s="13" t="s">
        <v>64</v>
      </c>
      <c r="I2" s="26" t="s">
        <v>65</v>
      </c>
    </row>
    <row r="3" spans="2:9" ht="31.5" customHeight="1" thickBot="1" x14ac:dyDescent="0.3">
      <c r="B3" s="19">
        <v>67</v>
      </c>
      <c r="C3" s="23" t="s">
        <v>66</v>
      </c>
      <c r="D3" s="22"/>
      <c r="E3" s="26" t="s">
        <v>37</v>
      </c>
      <c r="F3" s="26" t="s">
        <v>38</v>
      </c>
      <c r="G3" s="27" t="s">
        <v>63</v>
      </c>
      <c r="H3" s="13" t="s">
        <v>67</v>
      </c>
      <c r="I3" s="26" t="s">
        <v>65</v>
      </c>
    </row>
    <row r="4" spans="2:9" ht="15.75" customHeight="1" thickBot="1" x14ac:dyDescent="0.3">
      <c r="B4" s="19">
        <v>69</v>
      </c>
      <c r="C4" s="12" t="s">
        <v>68</v>
      </c>
      <c r="D4" s="22"/>
      <c r="E4" s="26" t="s">
        <v>69</v>
      </c>
      <c r="F4" s="26" t="s">
        <v>70</v>
      </c>
      <c r="G4" s="27" t="s">
        <v>71</v>
      </c>
      <c r="H4" s="13"/>
      <c r="I4" s="26" t="s">
        <v>65</v>
      </c>
    </row>
    <row r="5" spans="2:9" ht="15.75" customHeight="1" thickBot="1" x14ac:dyDescent="0.3">
      <c r="B5" s="19">
        <v>70</v>
      </c>
      <c r="C5" s="12" t="s">
        <v>72</v>
      </c>
      <c r="D5" s="22"/>
      <c r="E5" s="26"/>
      <c r="F5" s="26" t="s">
        <v>53</v>
      </c>
      <c r="G5" s="27" t="s">
        <v>73</v>
      </c>
      <c r="H5" s="13"/>
      <c r="I5" s="26" t="s">
        <v>65</v>
      </c>
    </row>
    <row r="6" spans="2:9" ht="15.75" customHeight="1" thickBot="1" x14ac:dyDescent="0.3">
      <c r="B6" s="19">
        <v>82</v>
      </c>
      <c r="C6" s="12" t="s">
        <v>74</v>
      </c>
      <c r="D6" s="22"/>
      <c r="E6" s="26" t="s">
        <v>34</v>
      </c>
      <c r="F6" s="26" t="s">
        <v>35</v>
      </c>
      <c r="G6" s="27" t="s">
        <v>63</v>
      </c>
      <c r="H6" s="13" t="s">
        <v>75</v>
      </c>
      <c r="I6" s="26" t="s">
        <v>65</v>
      </c>
    </row>
    <row r="7" spans="2:9" ht="15.75" customHeight="1" thickBot="1" x14ac:dyDescent="0.3">
      <c r="B7" s="19">
        <v>176</v>
      </c>
      <c r="C7" s="12" t="s">
        <v>76</v>
      </c>
      <c r="D7" s="22"/>
      <c r="E7" s="26" t="s">
        <v>77</v>
      </c>
      <c r="F7" s="26" t="s">
        <v>78</v>
      </c>
      <c r="G7" s="27" t="s">
        <v>79</v>
      </c>
      <c r="H7" s="13"/>
      <c r="I7" s="26" t="s">
        <v>65</v>
      </c>
    </row>
    <row r="8" spans="2:9" ht="15.75" customHeight="1" thickBot="1" x14ac:dyDescent="0.3">
      <c r="B8" s="19">
        <v>177</v>
      </c>
      <c r="C8" s="12" t="s">
        <v>80</v>
      </c>
      <c r="D8" s="22"/>
      <c r="E8" s="26" t="s">
        <v>81</v>
      </c>
      <c r="F8" s="26" t="s">
        <v>82</v>
      </c>
      <c r="G8" s="27" t="s">
        <v>79</v>
      </c>
      <c r="H8" s="13"/>
      <c r="I8" s="26" t="s">
        <v>65</v>
      </c>
    </row>
    <row r="9" spans="2:9" ht="15.75" customHeight="1" thickBot="1" x14ac:dyDescent="0.3">
      <c r="B9" s="19">
        <v>178</v>
      </c>
      <c r="C9" s="12" t="s">
        <v>83</v>
      </c>
      <c r="D9" s="22"/>
      <c r="E9" s="26" t="s">
        <v>84</v>
      </c>
      <c r="F9" s="26" t="s">
        <v>85</v>
      </c>
      <c r="G9" s="27" t="s">
        <v>79</v>
      </c>
      <c r="H9" s="13"/>
      <c r="I9" s="26" t="s">
        <v>65</v>
      </c>
    </row>
    <row r="10" spans="2:9" ht="15.75" customHeight="1" thickBot="1" x14ac:dyDescent="0.3">
      <c r="B10" s="19">
        <v>179</v>
      </c>
      <c r="C10" s="12" t="s">
        <v>86</v>
      </c>
      <c r="D10" s="22"/>
      <c r="E10" s="26" t="s">
        <v>87</v>
      </c>
      <c r="F10" s="26" t="s">
        <v>88</v>
      </c>
      <c r="G10" s="27" t="s">
        <v>79</v>
      </c>
      <c r="H10" s="13"/>
      <c r="I10" s="26" t="s">
        <v>65</v>
      </c>
    </row>
    <row r="11" spans="2:9" ht="15.75" customHeight="1" thickBot="1" x14ac:dyDescent="0.3">
      <c r="B11" s="19">
        <v>180</v>
      </c>
      <c r="C11" s="12" t="s">
        <v>89</v>
      </c>
      <c r="D11" s="22"/>
      <c r="E11" s="26" t="s">
        <v>90</v>
      </c>
      <c r="F11" s="26" t="s">
        <v>91</v>
      </c>
      <c r="G11" s="27" t="s">
        <v>92</v>
      </c>
      <c r="H11" s="13"/>
      <c r="I11" s="26" t="s">
        <v>65</v>
      </c>
    </row>
    <row r="12" spans="2:9" ht="15.75" customHeight="1" thickBot="1" x14ac:dyDescent="0.3">
      <c r="B12" s="19">
        <v>181</v>
      </c>
      <c r="C12" s="12" t="s">
        <v>93</v>
      </c>
      <c r="D12" s="22"/>
      <c r="E12" s="26" t="s">
        <v>94</v>
      </c>
      <c r="F12" s="26" t="s">
        <v>95</v>
      </c>
      <c r="G12" s="27" t="s">
        <v>92</v>
      </c>
      <c r="H12" s="13"/>
      <c r="I12" s="26" t="s">
        <v>65</v>
      </c>
    </row>
    <row r="13" spans="2:9" ht="15.75" customHeight="1" thickBot="1" x14ac:dyDescent="0.3">
      <c r="B13" s="19">
        <v>183</v>
      </c>
      <c r="C13" s="12" t="s">
        <v>96</v>
      </c>
      <c r="D13" s="22"/>
      <c r="E13" s="26" t="s">
        <v>97</v>
      </c>
      <c r="F13" s="26" t="s">
        <v>98</v>
      </c>
      <c r="G13" s="27" t="s">
        <v>92</v>
      </c>
      <c r="H13" s="13"/>
      <c r="I13" s="26" t="s">
        <v>65</v>
      </c>
    </row>
    <row r="14" spans="2:9" ht="30" customHeight="1" thickBot="1" x14ac:dyDescent="0.3">
      <c r="B14" s="19">
        <v>459</v>
      </c>
      <c r="C14" s="23" t="s">
        <v>99</v>
      </c>
      <c r="D14" s="22"/>
      <c r="E14" s="26" t="s">
        <v>43</v>
      </c>
      <c r="F14" s="26" t="s">
        <v>43</v>
      </c>
      <c r="G14" s="27" t="s">
        <v>100</v>
      </c>
      <c r="H14" s="13" t="s">
        <v>101</v>
      </c>
      <c r="I14" s="26" t="s">
        <v>65</v>
      </c>
    </row>
    <row r="16" spans="2:9" ht="15.75" thickBot="1" x14ac:dyDescent="0.3"/>
    <row r="17" spans="2:12" ht="15.75" thickBot="1" x14ac:dyDescent="0.3">
      <c r="B17" s="1" t="s">
        <v>0</v>
      </c>
      <c r="C17" s="2" t="s">
        <v>108</v>
      </c>
      <c r="D17" s="2" t="s">
        <v>107</v>
      </c>
      <c r="E17" s="14" t="s">
        <v>111</v>
      </c>
      <c r="F17" s="14" t="s">
        <v>112</v>
      </c>
      <c r="G17" s="2" t="s">
        <v>2</v>
      </c>
      <c r="H17" s="17"/>
    </row>
    <row r="18" spans="2:12" ht="15.75" thickBot="1" x14ac:dyDescent="0.3">
      <c r="B18" s="120" t="s">
        <v>6</v>
      </c>
      <c r="C18" s="121"/>
      <c r="D18" s="121"/>
      <c r="E18" s="121"/>
      <c r="F18" s="122"/>
      <c r="G18" s="114" t="s">
        <v>102</v>
      </c>
      <c r="H18" s="17"/>
    </row>
    <row r="19" spans="2:12" ht="15.75" thickBot="1" x14ac:dyDescent="0.3">
      <c r="B19" s="9">
        <v>334</v>
      </c>
      <c r="C19" s="20"/>
      <c r="D19" s="10" t="s">
        <v>3</v>
      </c>
      <c r="E19" s="11" t="s">
        <v>4</v>
      </c>
      <c r="F19" s="11" t="s">
        <v>5</v>
      </c>
      <c r="G19" s="115"/>
      <c r="H19" s="17">
        <v>190</v>
      </c>
    </row>
    <row r="20" spans="2:12" ht="15.75" thickBot="1" x14ac:dyDescent="0.3">
      <c r="B20" s="9">
        <v>335</v>
      </c>
      <c r="C20" s="20"/>
      <c r="D20" s="10" t="s">
        <v>7</v>
      </c>
      <c r="E20" s="11" t="s">
        <v>8</v>
      </c>
      <c r="F20" s="11" t="s">
        <v>9</v>
      </c>
      <c r="G20" s="115"/>
      <c r="H20" s="17"/>
    </row>
    <row r="21" spans="2:12" ht="15.75" thickBot="1" x14ac:dyDescent="0.3">
      <c r="B21" s="9">
        <v>336</v>
      </c>
      <c r="C21" s="20"/>
      <c r="D21" s="10" t="s">
        <v>10</v>
      </c>
      <c r="E21" s="11" t="s">
        <v>11</v>
      </c>
      <c r="F21" s="11" t="s">
        <v>12</v>
      </c>
      <c r="G21" s="115"/>
      <c r="H21" s="17"/>
    </row>
    <row r="22" spans="2:12" ht="15.75" thickBot="1" x14ac:dyDescent="0.3">
      <c r="B22" s="9">
        <v>337</v>
      </c>
      <c r="C22" s="20"/>
      <c r="D22" s="10" t="s">
        <v>13</v>
      </c>
      <c r="E22" s="11" t="s">
        <v>14</v>
      </c>
      <c r="F22" s="11" t="s">
        <v>15</v>
      </c>
      <c r="G22" s="115"/>
      <c r="H22" s="17"/>
    </row>
    <row r="23" spans="2:12" ht="15.75" thickBot="1" x14ac:dyDescent="0.3">
      <c r="B23" s="9">
        <v>458</v>
      </c>
      <c r="C23" s="20" t="s">
        <v>109</v>
      </c>
      <c r="D23" s="10" t="s">
        <v>16</v>
      </c>
      <c r="E23" s="11" t="s">
        <v>17</v>
      </c>
      <c r="F23" s="11" t="s">
        <v>18</v>
      </c>
      <c r="G23" s="116"/>
      <c r="H23" s="17"/>
    </row>
    <row r="24" spans="2:12" ht="15.75" thickBot="1" x14ac:dyDescent="0.3">
      <c r="B24" s="120" t="s">
        <v>19</v>
      </c>
      <c r="C24" s="121"/>
      <c r="D24" s="121"/>
      <c r="E24" s="121"/>
      <c r="F24" s="122"/>
      <c r="G24" s="117" t="s">
        <v>103</v>
      </c>
      <c r="H24" s="17">
        <v>154</v>
      </c>
    </row>
    <row r="25" spans="2:12" ht="15.75" thickBot="1" x14ac:dyDescent="0.3">
      <c r="B25" s="7"/>
      <c r="C25" s="21"/>
      <c r="D25" s="3" t="s">
        <v>20</v>
      </c>
      <c r="E25" s="4">
        <v>6230361</v>
      </c>
      <c r="F25" s="4" t="s">
        <v>21</v>
      </c>
      <c r="G25" s="118"/>
      <c r="H25" s="17"/>
    </row>
    <row r="26" spans="2:12" ht="15.75" thickBot="1" x14ac:dyDescent="0.3">
      <c r="B26" s="7"/>
      <c r="C26" s="21"/>
      <c r="D26" s="3" t="s">
        <v>22</v>
      </c>
      <c r="E26" s="4">
        <v>6250340</v>
      </c>
      <c r="F26" s="4" t="s">
        <v>23</v>
      </c>
      <c r="G26" s="118"/>
      <c r="H26" s="17"/>
    </row>
    <row r="27" spans="2:12" ht="15.75" thickBot="1" x14ac:dyDescent="0.3">
      <c r="B27" s="7"/>
      <c r="C27" s="21"/>
      <c r="D27" s="3" t="s">
        <v>24</v>
      </c>
      <c r="E27" s="4">
        <v>6240369</v>
      </c>
      <c r="F27" s="4" t="s">
        <v>25</v>
      </c>
      <c r="G27" s="118"/>
      <c r="H27" s="17"/>
    </row>
    <row r="28" spans="2:12" ht="15.75" thickBot="1" x14ac:dyDescent="0.3">
      <c r="B28" s="7"/>
      <c r="C28" s="21"/>
      <c r="D28" s="3" t="s">
        <v>26</v>
      </c>
      <c r="E28" s="4">
        <v>6260359</v>
      </c>
      <c r="F28" s="4" t="s">
        <v>27</v>
      </c>
      <c r="G28" s="119"/>
      <c r="H28" s="17"/>
    </row>
    <row r="29" spans="2:12" ht="15.75" thickBot="1" x14ac:dyDescent="0.3">
      <c r="B29" s="123" t="s">
        <v>105</v>
      </c>
      <c r="C29" s="124"/>
      <c r="D29" s="124"/>
      <c r="E29" s="124"/>
      <c r="F29" s="125"/>
      <c r="G29" s="117" t="s">
        <v>104</v>
      </c>
      <c r="H29" s="17">
        <v>128</v>
      </c>
    </row>
    <row r="30" spans="2:12" ht="15.75" thickBot="1" x14ac:dyDescent="0.3">
      <c r="B30" s="7"/>
      <c r="C30" s="42"/>
      <c r="D30" s="43" t="s">
        <v>28</v>
      </c>
      <c r="E30" s="44"/>
      <c r="F30" s="43"/>
      <c r="G30" s="118"/>
      <c r="H30" s="17"/>
    </row>
    <row r="31" spans="2:12" ht="15.75" thickBot="1" x14ac:dyDescent="0.3">
      <c r="B31" s="7"/>
      <c r="C31" s="32"/>
      <c r="D31" s="33" t="s">
        <v>29</v>
      </c>
      <c r="E31" s="34"/>
      <c r="F31" s="34" t="s">
        <v>30</v>
      </c>
      <c r="G31" s="118"/>
      <c r="H31" s="17"/>
    </row>
    <row r="32" spans="2:12" ht="30" customHeight="1" thickBot="1" x14ac:dyDescent="0.3">
      <c r="B32" s="7"/>
      <c r="C32" s="35"/>
      <c r="D32" s="36" t="s">
        <v>31</v>
      </c>
      <c r="E32" s="6"/>
      <c r="F32" s="6" t="s">
        <v>32</v>
      </c>
      <c r="G32" s="118"/>
      <c r="H32" s="17" t="s">
        <v>113</v>
      </c>
      <c r="I32" s="5" t="s">
        <v>119</v>
      </c>
      <c r="J32" s="17" t="s">
        <v>122</v>
      </c>
      <c r="K32" s="5" t="s">
        <v>32</v>
      </c>
      <c r="L32" s="5" t="s">
        <v>123</v>
      </c>
    </row>
    <row r="33" spans="2:12" ht="31.5" customHeight="1" thickBot="1" x14ac:dyDescent="0.3">
      <c r="B33" s="9">
        <v>82</v>
      </c>
      <c r="C33" s="24" t="s">
        <v>74</v>
      </c>
      <c r="D33" s="10" t="s">
        <v>33</v>
      </c>
      <c r="E33" s="11" t="s">
        <v>34</v>
      </c>
      <c r="F33" s="11" t="s">
        <v>35</v>
      </c>
      <c r="G33" s="118"/>
      <c r="H33" s="17" t="s">
        <v>118</v>
      </c>
      <c r="I33" s="5" t="s">
        <v>119</v>
      </c>
      <c r="J33" s="17" t="s">
        <v>120</v>
      </c>
      <c r="K33" s="5" t="s">
        <v>35</v>
      </c>
      <c r="L33" s="5" t="s">
        <v>121</v>
      </c>
    </row>
    <row r="34" spans="2:12" ht="31.5" customHeight="1" thickBot="1" x14ac:dyDescent="0.3">
      <c r="B34" s="70">
        <v>67</v>
      </c>
      <c r="C34" s="71" t="s">
        <v>66</v>
      </c>
      <c r="D34" s="72" t="s">
        <v>36</v>
      </c>
      <c r="E34" s="73" t="s">
        <v>37</v>
      </c>
      <c r="F34" s="73" t="s">
        <v>38</v>
      </c>
      <c r="G34" s="118"/>
      <c r="H34" s="17" t="s">
        <v>124</v>
      </c>
      <c r="I34" s="5" t="s">
        <v>115</v>
      </c>
      <c r="J34" s="17" t="s">
        <v>125</v>
      </c>
      <c r="K34" s="5" t="s">
        <v>38</v>
      </c>
      <c r="L34" s="5" t="s">
        <v>126</v>
      </c>
    </row>
    <row r="35" spans="2:12" ht="15.75" thickBot="1" x14ac:dyDescent="0.3">
      <c r="B35" s="56"/>
      <c r="C35" s="57"/>
      <c r="D35" s="58" t="s">
        <v>39</v>
      </c>
      <c r="E35" s="59"/>
      <c r="F35" s="59"/>
      <c r="G35" s="118"/>
      <c r="H35" s="5"/>
      <c r="I35" s="5"/>
      <c r="J35" s="5"/>
      <c r="K35" s="5"/>
      <c r="L35" s="5"/>
    </row>
    <row r="36" spans="2:12" ht="15.75" thickBot="1" x14ac:dyDescent="0.3">
      <c r="B36" s="61">
        <v>28</v>
      </c>
      <c r="C36" s="41" t="s">
        <v>61</v>
      </c>
      <c r="D36" s="63" t="s">
        <v>40</v>
      </c>
      <c r="E36" s="64"/>
      <c r="F36" s="64" t="s">
        <v>41</v>
      </c>
      <c r="G36" s="119"/>
      <c r="H36" s="17" t="s">
        <v>114</v>
      </c>
      <c r="I36" s="5" t="s">
        <v>115</v>
      </c>
      <c r="J36" s="5" t="s">
        <v>116</v>
      </c>
      <c r="K36" s="5" t="s">
        <v>41</v>
      </c>
      <c r="L36" s="5" t="s">
        <v>117</v>
      </c>
    </row>
    <row r="37" spans="2:12" ht="15.75" thickBot="1" x14ac:dyDescent="0.3">
      <c r="B37" s="123" t="s">
        <v>106</v>
      </c>
      <c r="C37" s="124"/>
      <c r="D37" s="124"/>
      <c r="E37" s="124"/>
      <c r="F37" s="125"/>
      <c r="G37" s="117" t="s">
        <v>100</v>
      </c>
      <c r="H37" s="17">
        <v>226</v>
      </c>
    </row>
    <row r="38" spans="2:12" ht="31.5" customHeight="1" thickBot="1" x14ac:dyDescent="0.3">
      <c r="B38" s="61">
        <v>459</v>
      </c>
      <c r="C38" s="62" t="s">
        <v>99</v>
      </c>
      <c r="D38" s="63" t="s">
        <v>42</v>
      </c>
      <c r="E38" s="64"/>
      <c r="F38" s="64" t="s">
        <v>43</v>
      </c>
      <c r="G38" s="118"/>
      <c r="H38" s="17"/>
    </row>
    <row r="39" spans="2:12" ht="31.5" customHeight="1" thickBot="1" x14ac:dyDescent="0.3">
      <c r="B39" s="7"/>
      <c r="C39" s="25" t="s">
        <v>110</v>
      </c>
      <c r="D39" s="3" t="s">
        <v>44</v>
      </c>
      <c r="E39" s="4"/>
      <c r="F39" s="4" t="s">
        <v>45</v>
      </c>
      <c r="G39" s="118"/>
      <c r="H39" s="17"/>
    </row>
    <row r="40" spans="2:12" ht="15.75" thickBot="1" x14ac:dyDescent="0.3">
      <c r="B40" s="7"/>
      <c r="C40" s="21"/>
      <c r="D40" s="3"/>
      <c r="E40" s="4"/>
      <c r="F40" s="4"/>
      <c r="G40" s="119"/>
      <c r="H40" s="17"/>
    </row>
    <row r="41" spans="2:12" ht="15.75" thickBot="1" x14ac:dyDescent="0.3">
      <c r="B41" s="123" t="s">
        <v>58</v>
      </c>
      <c r="C41" s="124"/>
      <c r="D41" s="124"/>
      <c r="E41" s="124"/>
      <c r="F41" s="125"/>
      <c r="G41" s="117" t="s">
        <v>73</v>
      </c>
      <c r="H41" s="17">
        <v>383</v>
      </c>
    </row>
    <row r="42" spans="2:12" ht="15.75" thickBot="1" x14ac:dyDescent="0.3">
      <c r="B42" s="7"/>
      <c r="C42" s="21"/>
      <c r="D42" s="3" t="s">
        <v>46</v>
      </c>
      <c r="E42" s="4"/>
      <c r="F42" s="4" t="s">
        <v>47</v>
      </c>
      <c r="G42" s="118"/>
      <c r="H42" s="17"/>
    </row>
    <row r="43" spans="2:12" ht="15.75" thickBot="1" x14ac:dyDescent="0.3">
      <c r="B43" s="7"/>
      <c r="C43" s="21"/>
      <c r="D43" s="3" t="s">
        <v>48</v>
      </c>
      <c r="E43" s="4"/>
      <c r="F43" s="4" t="s">
        <v>49</v>
      </c>
      <c r="G43" s="118"/>
      <c r="H43" s="17"/>
    </row>
    <row r="44" spans="2:12" ht="15.75" thickBot="1" x14ac:dyDescent="0.3">
      <c r="B44" s="7"/>
      <c r="C44" s="21"/>
      <c r="D44" s="3" t="s">
        <v>50</v>
      </c>
      <c r="E44" s="4"/>
      <c r="F44" s="4" t="s">
        <v>51</v>
      </c>
      <c r="G44" s="118"/>
      <c r="H44" s="17"/>
    </row>
    <row r="45" spans="2:12" ht="15.75" thickBot="1" x14ac:dyDescent="0.3">
      <c r="B45" s="7">
        <v>70</v>
      </c>
      <c r="C45" s="21" t="s">
        <v>72</v>
      </c>
      <c r="D45" s="3" t="s">
        <v>52</v>
      </c>
      <c r="E45" s="4"/>
      <c r="F45" s="4" t="s">
        <v>53</v>
      </c>
      <c r="G45" s="118"/>
      <c r="H45" s="17"/>
    </row>
    <row r="46" spans="2:12" ht="15.75" thickBot="1" x14ac:dyDescent="0.3">
      <c r="B46" s="7"/>
      <c r="C46" s="21"/>
      <c r="D46" s="3" t="s">
        <v>54</v>
      </c>
      <c r="E46" s="4"/>
      <c r="F46" s="4" t="s">
        <v>55</v>
      </c>
      <c r="G46" s="118"/>
      <c r="H46" s="17"/>
    </row>
    <row r="47" spans="2:12" ht="15.75" thickBot="1" x14ac:dyDescent="0.3">
      <c r="B47" s="7"/>
      <c r="C47" s="21"/>
      <c r="D47" s="3" t="s">
        <v>56</v>
      </c>
      <c r="E47" s="4"/>
      <c r="F47" s="4" t="s">
        <v>57</v>
      </c>
      <c r="G47" s="119"/>
      <c r="H47" s="17"/>
    </row>
    <row r="48" spans="2:12" x14ac:dyDescent="0.25">
      <c r="B48"/>
      <c r="C48"/>
      <c r="H48" s="17"/>
    </row>
    <row r="49" spans="1:9" x14ac:dyDescent="0.25">
      <c r="A49" t="s">
        <v>154</v>
      </c>
      <c r="B49" s="8" t="s">
        <v>142</v>
      </c>
      <c r="C49" s="5" t="s">
        <v>153</v>
      </c>
      <c r="D49" s="50" t="s">
        <v>143</v>
      </c>
      <c r="F49" s="51" t="s">
        <v>144</v>
      </c>
      <c r="H49" s="17"/>
      <c r="I49" t="s">
        <v>145</v>
      </c>
    </row>
    <row r="50" spans="1:9" x14ac:dyDescent="0.25">
      <c r="B50" s="5" t="s">
        <v>159</v>
      </c>
      <c r="C50" s="53" t="s">
        <v>158</v>
      </c>
      <c r="D50" s="28" t="s">
        <v>132</v>
      </c>
      <c r="E50" s="29">
        <v>2002389</v>
      </c>
      <c r="F50" s="30" t="s">
        <v>133</v>
      </c>
      <c r="G50" s="31"/>
      <c r="H50" s="17"/>
      <c r="I50" t="s">
        <v>157</v>
      </c>
    </row>
    <row r="51" spans="1:9" x14ac:dyDescent="0.25">
      <c r="A51" s="5">
        <v>10</v>
      </c>
      <c r="B51" s="5" t="s">
        <v>140</v>
      </c>
      <c r="C51" s="52" t="s">
        <v>155</v>
      </c>
      <c r="D51" s="37" t="s">
        <v>130</v>
      </c>
      <c r="E51" s="38">
        <v>2013995</v>
      </c>
      <c r="F51" s="39" t="s">
        <v>131</v>
      </c>
      <c r="G51" s="40"/>
      <c r="H51" s="40"/>
      <c r="I51" s="60" t="s">
        <v>146</v>
      </c>
    </row>
    <row r="52" spans="1:9" x14ac:dyDescent="0.25">
      <c r="A52" s="5">
        <v>11</v>
      </c>
      <c r="B52" s="5" t="s">
        <v>141</v>
      </c>
      <c r="C52" s="45" t="s">
        <v>152</v>
      </c>
      <c r="D52" s="46" t="s">
        <v>127</v>
      </c>
      <c r="E52" s="47">
        <v>2059662</v>
      </c>
      <c r="F52" s="48" t="s">
        <v>128</v>
      </c>
      <c r="G52" s="49"/>
      <c r="H52" s="49"/>
      <c r="I52" s="60" t="s">
        <v>147</v>
      </c>
    </row>
    <row r="53" spans="1:9" x14ac:dyDescent="0.25">
      <c r="A53" s="5">
        <v>12</v>
      </c>
      <c r="B53" s="5" t="s">
        <v>148</v>
      </c>
      <c r="C53" s="65" t="s">
        <v>151</v>
      </c>
      <c r="D53" s="66" t="s">
        <v>38</v>
      </c>
      <c r="E53" s="67">
        <v>2114786</v>
      </c>
      <c r="F53" s="68" t="s">
        <v>129</v>
      </c>
      <c r="G53" s="69"/>
      <c r="H53" s="69"/>
      <c r="I53" s="60" t="s">
        <v>149</v>
      </c>
    </row>
    <row r="54" spans="1:9" x14ac:dyDescent="0.25">
      <c r="A54" s="5">
        <v>10</v>
      </c>
      <c r="B54" s="5" t="s">
        <v>134</v>
      </c>
      <c r="C54" s="54">
        <v>1040</v>
      </c>
      <c r="D54" s="55" t="s">
        <v>136</v>
      </c>
      <c r="E54" s="54">
        <v>2100031</v>
      </c>
      <c r="F54" s="55" t="s">
        <v>138</v>
      </c>
      <c r="G54" s="55"/>
      <c r="I54" s="55" t="s">
        <v>136</v>
      </c>
    </row>
    <row r="55" spans="1:9" x14ac:dyDescent="0.25">
      <c r="A55" s="5">
        <v>20</v>
      </c>
      <c r="B55" s="5" t="s">
        <v>135</v>
      </c>
      <c r="C55" s="5" t="s">
        <v>150</v>
      </c>
      <c r="D55" t="s">
        <v>137</v>
      </c>
      <c r="E55" s="5">
        <v>2063328</v>
      </c>
      <c r="F55" t="s">
        <v>139</v>
      </c>
      <c r="I55" s="17" t="s">
        <v>137</v>
      </c>
    </row>
    <row r="56" spans="1:9" x14ac:dyDescent="0.25">
      <c r="A56" s="5">
        <v>20</v>
      </c>
      <c r="B56" s="5" t="s">
        <v>135</v>
      </c>
      <c r="C56" s="5" t="s">
        <v>156</v>
      </c>
      <c r="D56" t="s">
        <v>137</v>
      </c>
      <c r="E56" s="5">
        <v>2063328</v>
      </c>
      <c r="F56" t="s">
        <v>139</v>
      </c>
      <c r="H56" s="17"/>
    </row>
    <row r="57" spans="1:9" x14ac:dyDescent="0.25">
      <c r="H57" s="17"/>
    </row>
    <row r="58" spans="1:9" x14ac:dyDescent="0.25">
      <c r="C58" s="17"/>
      <c r="H58" s="17"/>
    </row>
  </sheetData>
  <mergeCells count="10">
    <mergeCell ref="B18:F18"/>
    <mergeCell ref="B24:F24"/>
    <mergeCell ref="B29:F29"/>
    <mergeCell ref="B37:F37"/>
    <mergeCell ref="B41:F41"/>
    <mergeCell ref="G18:G23"/>
    <mergeCell ref="G24:G28"/>
    <mergeCell ref="G29:G36"/>
    <mergeCell ref="G37:G40"/>
    <mergeCell ref="G41:G4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B59-918E-4537-AC92-A13B048B16DE}">
  <dimension ref="A2:J49"/>
  <sheetViews>
    <sheetView zoomScaleNormal="100" workbookViewId="0">
      <selection activeCell="C16" sqref="C16"/>
    </sheetView>
  </sheetViews>
  <sheetFormatPr baseColWidth="10" defaultRowHeight="15" x14ac:dyDescent="0.25"/>
  <cols>
    <col min="2" max="2" width="15.42578125" bestFit="1" customWidth="1"/>
    <col min="3" max="3" width="71.42578125" bestFit="1" customWidth="1"/>
    <col min="4" max="4" width="68.5703125" customWidth="1"/>
    <col min="5" max="5" width="26.140625" bestFit="1" customWidth="1"/>
    <col min="6" max="6" width="16.42578125" bestFit="1" customWidth="1"/>
    <col min="7" max="7" width="16.42578125" style="5" bestFit="1" customWidth="1"/>
    <col min="9" max="9" width="19.85546875" style="17" bestFit="1" customWidth="1"/>
  </cols>
  <sheetData>
    <row r="2" spans="1:10" ht="15.75" thickBot="1" x14ac:dyDescent="0.3">
      <c r="B2" s="74"/>
    </row>
    <row r="3" spans="1:10" ht="19.5" thickBot="1" x14ac:dyDescent="0.3">
      <c r="B3" s="75" t="s">
        <v>160</v>
      </c>
      <c r="C3" s="76" t="s">
        <v>161</v>
      </c>
      <c r="D3" s="76" t="s">
        <v>162</v>
      </c>
      <c r="E3" s="76" t="s">
        <v>163</v>
      </c>
      <c r="F3" s="76" t="s">
        <v>164</v>
      </c>
      <c r="G3" s="76" t="s">
        <v>212</v>
      </c>
    </row>
    <row r="4" spans="1:10" ht="15.75" thickBot="1" x14ac:dyDescent="0.3">
      <c r="A4">
        <v>1</v>
      </c>
      <c r="B4" s="129" t="s">
        <v>165</v>
      </c>
      <c r="C4" s="77" t="s">
        <v>166</v>
      </c>
      <c r="D4" s="3" t="s">
        <v>29</v>
      </c>
      <c r="E4" s="110" t="s">
        <v>132</v>
      </c>
      <c r="F4" s="78" t="s">
        <v>30</v>
      </c>
      <c r="G4" s="78">
        <v>1421</v>
      </c>
      <c r="H4" s="112">
        <f t="shared" ref="H4:H5" si="0">LEN(D4)</f>
        <v>20</v>
      </c>
      <c r="I4" s="113" t="s">
        <v>214</v>
      </c>
      <c r="J4" t="s">
        <v>217</v>
      </c>
    </row>
    <row r="5" spans="1:10" ht="15.75" thickBot="1" x14ac:dyDescent="0.3">
      <c r="A5">
        <v>1</v>
      </c>
      <c r="B5" s="130"/>
      <c r="C5" s="77" t="s">
        <v>167</v>
      </c>
      <c r="D5" s="79" t="s">
        <v>218</v>
      </c>
      <c r="E5" s="110" t="s">
        <v>130</v>
      </c>
      <c r="F5" s="78" t="s">
        <v>32</v>
      </c>
      <c r="G5" s="78">
        <v>1422</v>
      </c>
      <c r="H5" s="112">
        <f t="shared" si="0"/>
        <v>50</v>
      </c>
      <c r="I5" s="113" t="s">
        <v>32</v>
      </c>
    </row>
    <row r="6" spans="1:10" ht="15.75" thickBot="1" x14ac:dyDescent="0.3">
      <c r="A6">
        <v>1</v>
      </c>
      <c r="B6" s="130"/>
      <c r="C6" s="105" t="s">
        <v>74</v>
      </c>
      <c r="D6" s="106" t="s">
        <v>216</v>
      </c>
      <c r="E6" s="111" t="s">
        <v>127</v>
      </c>
      <c r="F6" s="108" t="s">
        <v>35</v>
      </c>
      <c r="G6" s="108">
        <v>82</v>
      </c>
      <c r="H6" s="112">
        <f>LEN(D6)</f>
        <v>41</v>
      </c>
      <c r="I6" s="113" t="s">
        <v>127</v>
      </c>
    </row>
    <row r="7" spans="1:10" ht="30.75" thickBot="1" x14ac:dyDescent="0.3">
      <c r="A7">
        <v>1</v>
      </c>
      <c r="B7" s="130"/>
      <c r="C7" s="36" t="s">
        <v>66</v>
      </c>
      <c r="D7" s="106" t="s">
        <v>219</v>
      </c>
      <c r="E7" s="111" t="s">
        <v>38</v>
      </c>
      <c r="F7" s="6" t="s">
        <v>38</v>
      </c>
      <c r="G7" s="108">
        <v>67</v>
      </c>
      <c r="H7" s="112">
        <f t="shared" ref="H7:H11" si="1">LEN(D7)</f>
        <v>50</v>
      </c>
      <c r="I7" s="113" t="s">
        <v>213</v>
      </c>
    </row>
    <row r="8" spans="1:10" ht="15.75" thickBot="1" x14ac:dyDescent="0.3">
      <c r="A8">
        <v>1</v>
      </c>
      <c r="B8" s="130"/>
      <c r="C8" s="107" t="s">
        <v>61</v>
      </c>
      <c r="D8" s="106" t="s">
        <v>40</v>
      </c>
      <c r="E8" s="107" t="s">
        <v>168</v>
      </c>
      <c r="F8" s="108" t="s">
        <v>41</v>
      </c>
      <c r="G8" s="108">
        <v>28</v>
      </c>
      <c r="H8" s="112">
        <f t="shared" si="1"/>
        <v>30</v>
      </c>
      <c r="I8" s="113" t="s">
        <v>41</v>
      </c>
    </row>
    <row r="9" spans="1:10" ht="15.75" thickBot="1" x14ac:dyDescent="0.3">
      <c r="A9">
        <v>1</v>
      </c>
      <c r="B9" s="130"/>
      <c r="C9" s="77" t="s">
        <v>169</v>
      </c>
      <c r="D9" s="109" t="s">
        <v>220</v>
      </c>
      <c r="E9" s="110" t="s">
        <v>221</v>
      </c>
      <c r="F9" s="78" t="s">
        <v>170</v>
      </c>
      <c r="G9" s="78">
        <v>1299</v>
      </c>
      <c r="H9" s="112">
        <f t="shared" si="1"/>
        <v>50</v>
      </c>
      <c r="I9" s="113"/>
    </row>
    <row r="10" spans="1:10" ht="15.75" thickBot="1" x14ac:dyDescent="0.3">
      <c r="A10">
        <v>1</v>
      </c>
      <c r="B10" s="130"/>
      <c r="C10" s="77" t="s">
        <v>171</v>
      </c>
      <c r="D10" s="3" t="s">
        <v>137</v>
      </c>
      <c r="E10" s="104">
        <v>2063328</v>
      </c>
      <c r="F10" s="78" t="s">
        <v>172</v>
      </c>
      <c r="G10" s="78">
        <v>1246</v>
      </c>
      <c r="H10" s="112">
        <f t="shared" si="1"/>
        <v>16</v>
      </c>
      <c r="I10" s="113" t="s">
        <v>172</v>
      </c>
    </row>
    <row r="11" spans="1:10" ht="30.75" thickBot="1" x14ac:dyDescent="0.3">
      <c r="A11">
        <v>1</v>
      </c>
      <c r="B11" s="131"/>
      <c r="C11" s="80" t="s">
        <v>173</v>
      </c>
      <c r="D11" s="3" t="s">
        <v>136</v>
      </c>
      <c r="E11" s="77" t="s">
        <v>215</v>
      </c>
      <c r="F11" s="78" t="s">
        <v>174</v>
      </c>
      <c r="G11" s="78">
        <v>1040</v>
      </c>
      <c r="H11" s="112">
        <f t="shared" si="1"/>
        <v>16</v>
      </c>
      <c r="I11" s="113" t="s">
        <v>174</v>
      </c>
    </row>
    <row r="12" spans="1:10" ht="15.75" thickBot="1" x14ac:dyDescent="0.3">
      <c r="B12" s="81"/>
      <c r="C12" s="82"/>
      <c r="D12" s="83"/>
      <c r="E12" s="84"/>
      <c r="F12" s="84"/>
    </row>
    <row r="13" spans="1:10" ht="30.75" thickBot="1" x14ac:dyDescent="0.3">
      <c r="A13">
        <v>1</v>
      </c>
      <c r="B13" s="132" t="s">
        <v>100</v>
      </c>
      <c r="C13" s="85" t="s">
        <v>175</v>
      </c>
      <c r="D13" s="86" t="s">
        <v>42</v>
      </c>
      <c r="E13" s="86" t="s">
        <v>176</v>
      </c>
      <c r="F13" s="87" t="s">
        <v>43</v>
      </c>
      <c r="G13" s="87">
        <v>459</v>
      </c>
    </row>
    <row r="14" spans="1:10" ht="30.75" thickBot="1" x14ac:dyDescent="0.3">
      <c r="A14">
        <v>1</v>
      </c>
      <c r="B14" s="133"/>
      <c r="C14" s="88" t="s">
        <v>177</v>
      </c>
      <c r="D14" s="89" t="s">
        <v>44</v>
      </c>
      <c r="E14" s="89" t="s">
        <v>178</v>
      </c>
      <c r="F14" s="90" t="s">
        <v>45</v>
      </c>
      <c r="G14" s="78"/>
    </row>
    <row r="15" spans="1:10" ht="15.75" thickBot="1" x14ac:dyDescent="0.3">
      <c r="B15" s="83"/>
      <c r="C15" s="91"/>
      <c r="D15" s="83"/>
      <c r="E15" s="83"/>
      <c r="F15" s="83"/>
    </row>
    <row r="16" spans="1:10" ht="15.75" thickBot="1" x14ac:dyDescent="0.3">
      <c r="A16">
        <v>1</v>
      </c>
      <c r="B16" s="132" t="s">
        <v>103</v>
      </c>
      <c r="C16" s="86" t="s">
        <v>179</v>
      </c>
      <c r="D16" s="86" t="s">
        <v>20</v>
      </c>
      <c r="E16" s="86">
        <v>6230361</v>
      </c>
      <c r="F16" s="92" t="s">
        <v>180</v>
      </c>
      <c r="G16" s="87"/>
    </row>
    <row r="17" spans="1:9" ht="15.75" thickBot="1" x14ac:dyDescent="0.3">
      <c r="A17">
        <v>1</v>
      </c>
      <c r="B17" s="134"/>
      <c r="C17" s="89" t="s">
        <v>181</v>
      </c>
      <c r="D17" s="89" t="s">
        <v>22</v>
      </c>
      <c r="E17" s="89">
        <v>6250340</v>
      </c>
      <c r="F17" s="93" t="s">
        <v>182</v>
      </c>
      <c r="G17" s="78"/>
    </row>
    <row r="18" spans="1:9" ht="15.75" thickBot="1" x14ac:dyDescent="0.3">
      <c r="A18">
        <v>1</v>
      </c>
      <c r="B18" s="134"/>
      <c r="C18" s="89" t="s">
        <v>183</v>
      </c>
      <c r="D18" s="89" t="s">
        <v>24</v>
      </c>
      <c r="E18" s="89">
        <v>6240369</v>
      </c>
      <c r="F18" s="93" t="s">
        <v>184</v>
      </c>
      <c r="G18" s="78"/>
    </row>
    <row r="19" spans="1:9" ht="15.75" thickBot="1" x14ac:dyDescent="0.3">
      <c r="A19">
        <v>1</v>
      </c>
      <c r="B19" s="133"/>
      <c r="C19" s="89" t="s">
        <v>185</v>
      </c>
      <c r="D19" s="89" t="s">
        <v>26</v>
      </c>
      <c r="E19" s="89">
        <v>6260359</v>
      </c>
      <c r="F19" s="93" t="s">
        <v>186</v>
      </c>
      <c r="G19" s="78"/>
    </row>
    <row r="20" spans="1:9" ht="15.75" thickBot="1" x14ac:dyDescent="0.3">
      <c r="B20" s="83"/>
      <c r="C20" s="91"/>
      <c r="D20" s="83"/>
      <c r="E20" s="83"/>
      <c r="F20" s="83"/>
    </row>
    <row r="21" spans="1:9" ht="15.75" thickBot="1" x14ac:dyDescent="0.3">
      <c r="A21">
        <v>1</v>
      </c>
      <c r="B21" s="129" t="s">
        <v>102</v>
      </c>
      <c r="C21" s="94" t="s">
        <v>187</v>
      </c>
      <c r="D21" s="86" t="s">
        <v>3</v>
      </c>
      <c r="E21" s="94" t="s">
        <v>4</v>
      </c>
      <c r="F21" s="95" t="s">
        <v>5</v>
      </c>
      <c r="G21" s="95">
        <v>334</v>
      </c>
      <c r="H21" s="112"/>
      <c r="I21" s="113"/>
    </row>
    <row r="22" spans="1:9" ht="15.75" thickBot="1" x14ac:dyDescent="0.3">
      <c r="A22">
        <v>1</v>
      </c>
      <c r="B22" s="130"/>
      <c r="C22" s="77" t="s">
        <v>188</v>
      </c>
      <c r="D22" s="89" t="s">
        <v>7</v>
      </c>
      <c r="E22" s="77" t="s">
        <v>8</v>
      </c>
      <c r="F22" s="78" t="s">
        <v>9</v>
      </c>
      <c r="G22" s="78">
        <v>335</v>
      </c>
      <c r="H22" s="112"/>
      <c r="I22" s="113"/>
    </row>
    <row r="23" spans="1:9" ht="15.75" thickBot="1" x14ac:dyDescent="0.3">
      <c r="A23">
        <v>1</v>
      </c>
      <c r="B23" s="130"/>
      <c r="C23" s="77" t="s">
        <v>189</v>
      </c>
      <c r="D23" s="89" t="s">
        <v>10</v>
      </c>
      <c r="E23" s="77" t="s">
        <v>11</v>
      </c>
      <c r="F23" s="78" t="s">
        <v>12</v>
      </c>
      <c r="G23" s="78">
        <v>336</v>
      </c>
      <c r="H23" s="112"/>
      <c r="I23" s="113"/>
    </row>
    <row r="24" spans="1:9" ht="15.75" thickBot="1" x14ac:dyDescent="0.3">
      <c r="A24">
        <v>1</v>
      </c>
      <c r="B24" s="130"/>
      <c r="C24" s="77" t="s">
        <v>190</v>
      </c>
      <c r="D24" s="89" t="s">
        <v>13</v>
      </c>
      <c r="E24" s="77" t="s">
        <v>14</v>
      </c>
      <c r="F24" s="78" t="s">
        <v>15</v>
      </c>
      <c r="G24" s="78">
        <v>337</v>
      </c>
      <c r="H24" s="112"/>
      <c r="I24" s="113"/>
    </row>
    <row r="25" spans="1:9" ht="15.75" thickBot="1" x14ac:dyDescent="0.3">
      <c r="A25">
        <v>1</v>
      </c>
      <c r="B25" s="131"/>
      <c r="C25" s="77" t="s">
        <v>109</v>
      </c>
      <c r="D25" s="89" t="s">
        <v>16</v>
      </c>
      <c r="E25" s="77" t="s">
        <v>17</v>
      </c>
      <c r="F25" s="78" t="s">
        <v>18</v>
      </c>
      <c r="G25" s="78">
        <v>458</v>
      </c>
      <c r="H25" s="112"/>
      <c r="I25" s="113"/>
    </row>
    <row r="26" spans="1:9" ht="15.75" thickBot="1" x14ac:dyDescent="0.3">
      <c r="B26" s="83"/>
      <c r="C26" s="91"/>
      <c r="D26" s="83"/>
      <c r="E26" s="83"/>
      <c r="F26" s="83"/>
    </row>
    <row r="27" spans="1:9" ht="15.75" thickBot="1" x14ac:dyDescent="0.3">
      <c r="A27">
        <v>1</v>
      </c>
      <c r="B27" s="132" t="s">
        <v>73</v>
      </c>
      <c r="C27" s="86" t="s">
        <v>191</v>
      </c>
      <c r="D27" s="86" t="s">
        <v>46</v>
      </c>
      <c r="E27" s="86"/>
      <c r="F27" s="92" t="s">
        <v>192</v>
      </c>
      <c r="G27" s="87"/>
    </row>
    <row r="28" spans="1:9" ht="15.75" thickBot="1" x14ac:dyDescent="0.3">
      <c r="A28">
        <v>1</v>
      </c>
      <c r="B28" s="134"/>
      <c r="C28" s="89" t="s">
        <v>193</v>
      </c>
      <c r="D28" s="89" t="s">
        <v>48</v>
      </c>
      <c r="E28" s="89"/>
      <c r="F28" s="93" t="s">
        <v>194</v>
      </c>
      <c r="G28" s="78"/>
    </row>
    <row r="29" spans="1:9" ht="15.75" thickBot="1" x14ac:dyDescent="0.3">
      <c r="A29">
        <v>1</v>
      </c>
      <c r="B29" s="134"/>
      <c r="C29" s="89" t="s">
        <v>195</v>
      </c>
      <c r="D29" s="89" t="s">
        <v>50</v>
      </c>
      <c r="E29" s="89"/>
      <c r="F29" s="93" t="s">
        <v>196</v>
      </c>
      <c r="G29" s="78"/>
    </row>
    <row r="30" spans="1:9" ht="15.75" thickBot="1" x14ac:dyDescent="0.3">
      <c r="A30">
        <v>1</v>
      </c>
      <c r="B30" s="134"/>
      <c r="C30" s="89" t="s">
        <v>197</v>
      </c>
      <c r="D30" s="89" t="s">
        <v>52</v>
      </c>
      <c r="E30" s="89"/>
      <c r="F30" s="93" t="s">
        <v>198</v>
      </c>
      <c r="G30" s="78"/>
    </row>
    <row r="31" spans="1:9" ht="15.75" thickBot="1" x14ac:dyDescent="0.3">
      <c r="A31">
        <v>1</v>
      </c>
      <c r="B31" s="134"/>
      <c r="C31" s="89" t="s">
        <v>199</v>
      </c>
      <c r="D31" s="89" t="s">
        <v>54</v>
      </c>
      <c r="E31" s="89"/>
      <c r="F31" s="97" t="s">
        <v>200</v>
      </c>
      <c r="G31" s="78"/>
    </row>
    <row r="32" spans="1:9" ht="15.75" thickBot="1" x14ac:dyDescent="0.3">
      <c r="A32">
        <v>1</v>
      </c>
      <c r="B32" s="135"/>
      <c r="C32" s="89" t="s">
        <v>201</v>
      </c>
      <c r="D32" s="89" t="s">
        <v>56</v>
      </c>
      <c r="E32" s="89"/>
      <c r="F32" s="93" t="s">
        <v>202</v>
      </c>
      <c r="G32" s="78"/>
    </row>
    <row r="33" spans="1:7" ht="15.75" thickBot="1" x14ac:dyDescent="0.3">
      <c r="B33" s="98"/>
      <c r="C33" s="90"/>
      <c r="D33" s="89"/>
      <c r="E33" s="89"/>
      <c r="F33" s="89"/>
      <c r="G33" s="78"/>
    </row>
    <row r="34" spans="1:7" ht="15.75" thickBot="1" x14ac:dyDescent="0.3">
      <c r="A34">
        <v>1</v>
      </c>
      <c r="B34" s="99" t="s">
        <v>203</v>
      </c>
      <c r="C34" s="77" t="s">
        <v>68</v>
      </c>
      <c r="D34" s="3"/>
      <c r="E34" s="77" t="s">
        <v>69</v>
      </c>
      <c r="F34" s="100" t="s">
        <v>204</v>
      </c>
      <c r="G34" s="78"/>
    </row>
    <row r="35" spans="1:7" ht="15.75" thickBot="1" x14ac:dyDescent="0.3">
      <c r="B35" s="83"/>
      <c r="C35" s="91"/>
      <c r="D35" s="83"/>
      <c r="E35" s="83"/>
      <c r="F35" s="83"/>
      <c r="G35" s="78"/>
    </row>
    <row r="36" spans="1:7" ht="15.75" thickBot="1" x14ac:dyDescent="0.3">
      <c r="A36">
        <v>1</v>
      </c>
      <c r="B36" s="126" t="s">
        <v>79</v>
      </c>
      <c r="C36" s="94" t="s">
        <v>76</v>
      </c>
      <c r="D36" s="96"/>
      <c r="E36" s="94" t="s">
        <v>77</v>
      </c>
      <c r="F36" s="101" t="s">
        <v>205</v>
      </c>
      <c r="G36" s="78"/>
    </row>
    <row r="37" spans="1:7" ht="15.75" thickBot="1" x14ac:dyDescent="0.3">
      <c r="A37">
        <v>1</v>
      </c>
      <c r="B37" s="127"/>
      <c r="C37" s="77" t="s">
        <v>80</v>
      </c>
      <c r="D37" s="3"/>
      <c r="E37" s="77" t="s">
        <v>81</v>
      </c>
      <c r="F37" s="100" t="s">
        <v>206</v>
      </c>
      <c r="G37" s="78"/>
    </row>
    <row r="38" spans="1:7" ht="15.75" thickBot="1" x14ac:dyDescent="0.3">
      <c r="A38">
        <v>1</v>
      </c>
      <c r="B38" s="127"/>
      <c r="C38" s="77" t="s">
        <v>83</v>
      </c>
      <c r="D38" s="3"/>
      <c r="E38" s="77" t="s">
        <v>84</v>
      </c>
      <c r="F38" s="100" t="s">
        <v>207</v>
      </c>
      <c r="G38" s="78"/>
    </row>
    <row r="39" spans="1:7" ht="15.75" thickBot="1" x14ac:dyDescent="0.3">
      <c r="A39">
        <v>1</v>
      </c>
      <c r="B39" s="128"/>
      <c r="C39" s="77" t="s">
        <v>86</v>
      </c>
      <c r="D39" s="3"/>
      <c r="E39" s="77" t="s">
        <v>87</v>
      </c>
      <c r="F39" s="100" t="s">
        <v>208</v>
      </c>
      <c r="G39" s="78"/>
    </row>
    <row r="40" spans="1:7" ht="15.75" thickBot="1" x14ac:dyDescent="0.3">
      <c r="B40" s="83"/>
      <c r="C40" s="91"/>
      <c r="D40" s="83"/>
      <c r="E40" s="83"/>
      <c r="F40" s="83"/>
      <c r="G40" s="102"/>
    </row>
    <row r="41" spans="1:7" ht="15.75" thickBot="1" x14ac:dyDescent="0.3">
      <c r="A41">
        <v>1</v>
      </c>
      <c r="B41" s="126" t="s">
        <v>92</v>
      </c>
      <c r="C41" s="94" t="s">
        <v>89</v>
      </c>
      <c r="D41" s="96"/>
      <c r="E41" s="94" t="s">
        <v>90</v>
      </c>
      <c r="F41" s="101" t="s">
        <v>209</v>
      </c>
      <c r="G41" s="103"/>
    </row>
    <row r="42" spans="1:7" ht="15.75" thickBot="1" x14ac:dyDescent="0.3">
      <c r="A42">
        <v>1</v>
      </c>
      <c r="B42" s="127"/>
      <c r="C42" s="77" t="s">
        <v>93</v>
      </c>
      <c r="D42" s="3"/>
      <c r="E42" s="77" t="s">
        <v>94</v>
      </c>
      <c r="F42" s="100" t="s">
        <v>210</v>
      </c>
      <c r="G42" s="78"/>
    </row>
    <row r="43" spans="1:7" ht="15.75" thickBot="1" x14ac:dyDescent="0.3">
      <c r="A43">
        <v>1</v>
      </c>
      <c r="B43" s="128"/>
      <c r="C43" s="77" t="s">
        <v>96</v>
      </c>
      <c r="D43" s="3"/>
      <c r="E43" s="77" t="s">
        <v>97</v>
      </c>
      <c r="F43" s="100" t="s">
        <v>211</v>
      </c>
      <c r="G43" s="78"/>
    </row>
    <row r="45" spans="1:7" x14ac:dyDescent="0.25">
      <c r="A45">
        <f>SUM(A4:A43)</f>
        <v>33</v>
      </c>
    </row>
    <row r="46" spans="1:7" x14ac:dyDescent="0.25">
      <c r="A46">
        <v>13</v>
      </c>
    </row>
    <row r="48" spans="1:7" x14ac:dyDescent="0.25">
      <c r="A48">
        <f>13*100</f>
        <v>1300</v>
      </c>
    </row>
    <row r="49" spans="1:1" x14ac:dyDescent="0.25">
      <c r="A49">
        <f>+A48/33</f>
        <v>39.393939393939391</v>
      </c>
    </row>
  </sheetData>
  <mergeCells count="7">
    <mergeCell ref="B41:B43"/>
    <mergeCell ref="B4:B11"/>
    <mergeCell ref="B13:B14"/>
    <mergeCell ref="B16:B19"/>
    <mergeCell ref="B21:B25"/>
    <mergeCell ref="B27:B32"/>
    <mergeCell ref="B36:B39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FEA8D-C314-4915-82E5-443D53F193C8}">
  <dimension ref="A2:J49"/>
  <sheetViews>
    <sheetView tabSelected="1" topLeftCell="A19" zoomScaleNormal="100" workbookViewId="0">
      <selection activeCell="G19" sqref="G19"/>
    </sheetView>
  </sheetViews>
  <sheetFormatPr baseColWidth="10" defaultRowHeight="15" x14ac:dyDescent="0.25"/>
  <cols>
    <col min="2" max="2" width="15.42578125" bestFit="1" customWidth="1"/>
    <col min="3" max="3" width="71.42578125" bestFit="1" customWidth="1"/>
    <col min="4" max="4" width="68.5703125" customWidth="1"/>
    <col min="5" max="5" width="26.140625" bestFit="1" customWidth="1"/>
    <col min="6" max="6" width="16.42578125" bestFit="1" customWidth="1"/>
    <col min="7" max="7" width="16.42578125" style="5" bestFit="1" customWidth="1"/>
    <col min="9" max="9" width="19.85546875" style="17" bestFit="1" customWidth="1"/>
  </cols>
  <sheetData>
    <row r="2" spans="1:10" ht="15.75" thickBot="1" x14ac:dyDescent="0.3">
      <c r="B2" s="74"/>
    </row>
    <row r="3" spans="1:10" ht="19.5" thickBot="1" x14ac:dyDescent="0.3">
      <c r="B3" s="75" t="s">
        <v>160</v>
      </c>
      <c r="C3" s="76" t="s">
        <v>161</v>
      </c>
      <c r="D3" s="76" t="s">
        <v>162</v>
      </c>
      <c r="E3" s="76" t="s">
        <v>163</v>
      </c>
      <c r="F3" s="76" t="s">
        <v>164</v>
      </c>
      <c r="G3" s="76" t="s">
        <v>212</v>
      </c>
    </row>
    <row r="4" spans="1:10" ht="15.75" thickBot="1" x14ac:dyDescent="0.3">
      <c r="A4">
        <v>1</v>
      </c>
      <c r="B4" s="129" t="s">
        <v>165</v>
      </c>
      <c r="C4" s="77" t="s">
        <v>166</v>
      </c>
      <c r="D4" s="3" t="s">
        <v>29</v>
      </c>
      <c r="E4" s="110" t="s">
        <v>132</v>
      </c>
      <c r="F4" s="78" t="s">
        <v>30</v>
      </c>
      <c r="G4" s="78">
        <v>1421</v>
      </c>
      <c r="H4" s="137">
        <f t="shared" ref="H4:H5" si="0">LEN(D4)</f>
        <v>20</v>
      </c>
      <c r="I4" s="137" t="s">
        <v>214</v>
      </c>
      <c r="J4" t="s">
        <v>217</v>
      </c>
    </row>
    <row r="5" spans="1:10" ht="15.75" thickBot="1" x14ac:dyDescent="0.3">
      <c r="A5">
        <v>1</v>
      </c>
      <c r="B5" s="130"/>
      <c r="C5" s="77" t="s">
        <v>167</v>
      </c>
      <c r="D5" s="79" t="s">
        <v>218</v>
      </c>
      <c r="E5" s="110" t="s">
        <v>130</v>
      </c>
      <c r="F5" s="78" t="s">
        <v>32</v>
      </c>
      <c r="G5" s="78">
        <v>1422</v>
      </c>
      <c r="H5" s="137">
        <f t="shared" si="0"/>
        <v>50</v>
      </c>
      <c r="I5" s="137" t="s">
        <v>32</v>
      </c>
    </row>
    <row r="6" spans="1:10" ht="15.75" thickBot="1" x14ac:dyDescent="0.3">
      <c r="A6">
        <v>1</v>
      </c>
      <c r="B6" s="130"/>
      <c r="C6" s="105" t="s">
        <v>74</v>
      </c>
      <c r="D6" s="106" t="s">
        <v>216</v>
      </c>
      <c r="E6" s="111" t="s">
        <v>127</v>
      </c>
      <c r="F6" s="108" t="s">
        <v>35</v>
      </c>
      <c r="G6" s="108">
        <v>82</v>
      </c>
      <c r="H6" s="137">
        <f>LEN(D6)</f>
        <v>41</v>
      </c>
      <c r="I6" s="137" t="s">
        <v>127</v>
      </c>
    </row>
    <row r="7" spans="1:10" ht="30.75" thickBot="1" x14ac:dyDescent="0.3">
      <c r="A7">
        <v>1</v>
      </c>
      <c r="B7" s="130"/>
      <c r="C7" s="36" t="s">
        <v>66</v>
      </c>
      <c r="D7" s="106" t="s">
        <v>219</v>
      </c>
      <c r="E7" s="111" t="s">
        <v>38</v>
      </c>
      <c r="F7" s="6" t="s">
        <v>38</v>
      </c>
      <c r="G7" s="108">
        <v>67</v>
      </c>
      <c r="H7" s="137">
        <f t="shared" ref="H7:H11" si="1">LEN(D7)</f>
        <v>50</v>
      </c>
      <c r="I7" s="137" t="s">
        <v>213</v>
      </c>
    </row>
    <row r="8" spans="1:10" ht="15.75" thickBot="1" x14ac:dyDescent="0.3">
      <c r="A8">
        <v>1</v>
      </c>
      <c r="B8" s="130"/>
      <c r="C8" s="107" t="s">
        <v>61</v>
      </c>
      <c r="D8" s="106" t="s">
        <v>40</v>
      </c>
      <c r="E8" s="107" t="s">
        <v>168</v>
      </c>
      <c r="F8" s="108" t="s">
        <v>41</v>
      </c>
      <c r="G8" s="108">
        <v>28</v>
      </c>
      <c r="H8" s="137">
        <f t="shared" si="1"/>
        <v>30</v>
      </c>
      <c r="I8" s="137" t="s">
        <v>41</v>
      </c>
    </row>
    <row r="9" spans="1:10" ht="15.75" thickBot="1" x14ac:dyDescent="0.3">
      <c r="A9">
        <v>1</v>
      </c>
      <c r="B9" s="130"/>
      <c r="C9" s="77" t="s">
        <v>169</v>
      </c>
      <c r="D9" s="109" t="s">
        <v>220</v>
      </c>
      <c r="E9" s="110" t="s">
        <v>221</v>
      </c>
      <c r="F9" s="78" t="s">
        <v>170</v>
      </c>
      <c r="G9" s="78">
        <v>1299</v>
      </c>
      <c r="H9" s="137">
        <f t="shared" si="1"/>
        <v>50</v>
      </c>
      <c r="I9" s="137"/>
    </row>
    <row r="10" spans="1:10" ht="15.75" thickBot="1" x14ac:dyDescent="0.3">
      <c r="A10">
        <v>1</v>
      </c>
      <c r="B10" s="130"/>
      <c r="C10" s="77" t="s">
        <v>171</v>
      </c>
      <c r="D10" s="3" t="s">
        <v>137</v>
      </c>
      <c r="E10" s="104">
        <v>2063328</v>
      </c>
      <c r="F10" s="78" t="s">
        <v>172</v>
      </c>
      <c r="G10" s="78">
        <v>1246</v>
      </c>
      <c r="H10" s="137">
        <f t="shared" si="1"/>
        <v>16</v>
      </c>
      <c r="I10" s="137" t="s">
        <v>172</v>
      </c>
    </row>
    <row r="11" spans="1:10" ht="30.75" thickBot="1" x14ac:dyDescent="0.3">
      <c r="A11">
        <v>1</v>
      </c>
      <c r="B11" s="131"/>
      <c r="C11" s="80" t="s">
        <v>173</v>
      </c>
      <c r="D11" s="3" t="s">
        <v>136</v>
      </c>
      <c r="E11" s="77" t="s">
        <v>215</v>
      </c>
      <c r="F11" s="78" t="s">
        <v>174</v>
      </c>
      <c r="G11" s="78">
        <v>1040</v>
      </c>
      <c r="H11" s="137">
        <f t="shared" si="1"/>
        <v>16</v>
      </c>
      <c r="I11" s="137" t="s">
        <v>174</v>
      </c>
    </row>
    <row r="12" spans="1:10" ht="15.75" thickBot="1" x14ac:dyDescent="0.3">
      <c r="B12" s="81"/>
      <c r="C12" s="82"/>
      <c r="D12" s="83"/>
      <c r="E12" s="84"/>
      <c r="F12" s="84"/>
    </row>
    <row r="13" spans="1:10" ht="30.75" thickBot="1" x14ac:dyDescent="0.3">
      <c r="A13">
        <v>1</v>
      </c>
      <c r="B13" s="132" t="s">
        <v>100</v>
      </c>
      <c r="C13" s="85" t="s">
        <v>175</v>
      </c>
      <c r="D13" s="86" t="s">
        <v>42</v>
      </c>
      <c r="E13" s="86" t="s">
        <v>176</v>
      </c>
      <c r="F13" s="87" t="s">
        <v>43</v>
      </c>
      <c r="G13" s="87">
        <v>459</v>
      </c>
    </row>
    <row r="14" spans="1:10" ht="30.75" thickBot="1" x14ac:dyDescent="0.3">
      <c r="A14">
        <v>1</v>
      </c>
      <c r="B14" s="133"/>
      <c r="C14" s="88" t="s">
        <v>177</v>
      </c>
      <c r="D14" s="89" t="s">
        <v>44</v>
      </c>
      <c r="E14" s="89" t="s">
        <v>178</v>
      </c>
      <c r="F14" s="90" t="s">
        <v>45</v>
      </c>
      <c r="G14" s="78"/>
    </row>
    <row r="15" spans="1:10" ht="15.75" thickBot="1" x14ac:dyDescent="0.3">
      <c r="B15" s="83"/>
      <c r="C15" s="91"/>
      <c r="D15" s="83"/>
      <c r="E15" s="83"/>
      <c r="F15" s="83"/>
    </row>
    <row r="16" spans="1:10" ht="15.75" thickBot="1" x14ac:dyDescent="0.3">
      <c r="A16">
        <v>1</v>
      </c>
      <c r="B16" s="132" t="s">
        <v>103</v>
      </c>
      <c r="C16" s="136" t="s">
        <v>226</v>
      </c>
      <c r="D16" s="86" t="s">
        <v>20</v>
      </c>
      <c r="E16" s="136" t="s">
        <v>222</v>
      </c>
      <c r="F16" s="92" t="s">
        <v>180</v>
      </c>
      <c r="G16" s="87">
        <v>1453</v>
      </c>
      <c r="H16" s="137">
        <v>7.2300000000000003E-2</v>
      </c>
      <c r="I16" s="137" t="s">
        <v>231</v>
      </c>
    </row>
    <row r="17" spans="1:9" ht="15.75" thickBot="1" x14ac:dyDescent="0.3">
      <c r="A17">
        <v>1</v>
      </c>
      <c r="B17" s="134"/>
      <c r="C17" s="109" t="s">
        <v>228</v>
      </c>
      <c r="D17" s="89" t="s">
        <v>22</v>
      </c>
      <c r="E17" s="109" t="s">
        <v>223</v>
      </c>
      <c r="F17" s="93" t="s">
        <v>182</v>
      </c>
      <c r="G17" s="78">
        <v>1454</v>
      </c>
      <c r="H17" s="137">
        <v>9.2299999999999993E-2</v>
      </c>
      <c r="I17" s="137" t="s">
        <v>231</v>
      </c>
    </row>
    <row r="18" spans="1:9" ht="15.75" thickBot="1" x14ac:dyDescent="0.3">
      <c r="A18">
        <v>1</v>
      </c>
      <c r="B18" s="134"/>
      <c r="C18" s="109" t="s">
        <v>227</v>
      </c>
      <c r="D18" s="89" t="s">
        <v>24</v>
      </c>
      <c r="E18" s="109" t="s">
        <v>224</v>
      </c>
      <c r="F18" s="93" t="s">
        <v>184</v>
      </c>
      <c r="G18" s="78">
        <v>1459</v>
      </c>
      <c r="H18" s="137">
        <v>8.3089999999999997E-2</v>
      </c>
      <c r="I18" s="137" t="s">
        <v>231</v>
      </c>
    </row>
    <row r="19" spans="1:9" ht="15.75" thickBot="1" x14ac:dyDescent="0.3">
      <c r="A19">
        <v>1</v>
      </c>
      <c r="B19" s="133"/>
      <c r="C19" s="109" t="s">
        <v>229</v>
      </c>
      <c r="D19" s="89" t="s">
        <v>26</v>
      </c>
      <c r="E19" s="109" t="s">
        <v>225</v>
      </c>
      <c r="F19" s="93" t="s">
        <v>186</v>
      </c>
      <c r="G19" s="78">
        <v>1460</v>
      </c>
      <c r="H19" s="137">
        <v>8.8870000000000005E-2</v>
      </c>
      <c r="I19" s="137" t="s">
        <v>231</v>
      </c>
    </row>
    <row r="20" spans="1:9" ht="15.75" thickBot="1" x14ac:dyDescent="0.3">
      <c r="B20" s="83"/>
      <c r="C20" s="91"/>
      <c r="D20" s="83"/>
      <c r="E20" s="83"/>
      <c r="F20" s="83"/>
    </row>
    <row r="21" spans="1:9" ht="15.75" thickBot="1" x14ac:dyDescent="0.3">
      <c r="A21">
        <v>1</v>
      </c>
      <c r="B21" s="129" t="s">
        <v>102</v>
      </c>
      <c r="C21" s="94" t="s">
        <v>187</v>
      </c>
      <c r="D21" s="86" t="s">
        <v>3</v>
      </c>
      <c r="E21" s="94" t="s">
        <v>4</v>
      </c>
      <c r="F21" s="95" t="s">
        <v>5</v>
      </c>
      <c r="G21" s="95">
        <v>334</v>
      </c>
      <c r="H21" s="137"/>
      <c r="I21" s="137"/>
    </row>
    <row r="22" spans="1:9" ht="15.75" thickBot="1" x14ac:dyDescent="0.3">
      <c r="A22">
        <v>1</v>
      </c>
      <c r="B22" s="130"/>
      <c r="C22" s="77" t="s">
        <v>188</v>
      </c>
      <c r="D22" s="89" t="s">
        <v>7</v>
      </c>
      <c r="E22" s="77" t="s">
        <v>8</v>
      </c>
      <c r="F22" s="78" t="s">
        <v>9</v>
      </c>
      <c r="G22" s="78">
        <v>335</v>
      </c>
      <c r="H22" s="137"/>
      <c r="I22" s="137"/>
    </row>
    <row r="23" spans="1:9" ht="15.75" thickBot="1" x14ac:dyDescent="0.3">
      <c r="A23">
        <v>1</v>
      </c>
      <c r="B23" s="130"/>
      <c r="C23" s="77" t="s">
        <v>189</v>
      </c>
      <c r="D23" s="89" t="s">
        <v>10</v>
      </c>
      <c r="E23" s="77" t="s">
        <v>11</v>
      </c>
      <c r="F23" s="78" t="s">
        <v>12</v>
      </c>
      <c r="G23" s="78">
        <v>336</v>
      </c>
      <c r="H23" s="137"/>
      <c r="I23" s="137"/>
    </row>
    <row r="24" spans="1:9" ht="15.75" thickBot="1" x14ac:dyDescent="0.3">
      <c r="A24">
        <v>1</v>
      </c>
      <c r="B24" s="130"/>
      <c r="C24" s="77" t="s">
        <v>190</v>
      </c>
      <c r="D24" s="89" t="s">
        <v>13</v>
      </c>
      <c r="E24" s="77" t="s">
        <v>14</v>
      </c>
      <c r="F24" s="78" t="s">
        <v>15</v>
      </c>
      <c r="G24" s="78">
        <v>337</v>
      </c>
      <c r="H24" s="137"/>
      <c r="I24" s="137"/>
    </row>
    <row r="25" spans="1:9" ht="15.75" thickBot="1" x14ac:dyDescent="0.3">
      <c r="A25">
        <v>1</v>
      </c>
      <c r="B25" s="131"/>
      <c r="C25" s="77" t="s">
        <v>109</v>
      </c>
      <c r="D25" s="89" t="s">
        <v>16</v>
      </c>
      <c r="E25" s="77" t="s">
        <v>17</v>
      </c>
      <c r="F25" s="78" t="s">
        <v>18</v>
      </c>
      <c r="G25" s="78">
        <v>458</v>
      </c>
      <c r="H25" s="137"/>
      <c r="I25" s="137"/>
    </row>
    <row r="26" spans="1:9" ht="15.75" thickBot="1" x14ac:dyDescent="0.3">
      <c r="B26" s="83"/>
      <c r="C26" s="91"/>
      <c r="D26" s="83"/>
      <c r="E26" s="83"/>
      <c r="F26" s="83"/>
    </row>
    <row r="27" spans="1:9" ht="15.75" thickBot="1" x14ac:dyDescent="0.3">
      <c r="A27">
        <v>1</v>
      </c>
      <c r="B27" s="132" t="s">
        <v>73</v>
      </c>
      <c r="C27" s="86" t="s">
        <v>191</v>
      </c>
      <c r="D27" s="86" t="s">
        <v>46</v>
      </c>
      <c r="E27" s="86"/>
      <c r="F27" s="92" t="s">
        <v>192</v>
      </c>
      <c r="G27" s="87"/>
    </row>
    <row r="28" spans="1:9" ht="15.75" thickBot="1" x14ac:dyDescent="0.3">
      <c r="A28">
        <v>1</v>
      </c>
      <c r="B28" s="134"/>
      <c r="C28" s="89" t="s">
        <v>193</v>
      </c>
      <c r="D28" s="89" t="s">
        <v>48</v>
      </c>
      <c r="E28" s="89"/>
      <c r="F28" s="93" t="s">
        <v>194</v>
      </c>
      <c r="G28" s="78"/>
      <c r="H28">
        <v>16.420000000000002</v>
      </c>
      <c r="I28" s="17" t="s">
        <v>230</v>
      </c>
    </row>
    <row r="29" spans="1:9" ht="15.75" thickBot="1" x14ac:dyDescent="0.3">
      <c r="A29">
        <v>1</v>
      </c>
      <c r="B29" s="134"/>
      <c r="C29" s="89" t="s">
        <v>195</v>
      </c>
      <c r="D29" s="89" t="s">
        <v>50</v>
      </c>
      <c r="E29" s="89"/>
      <c r="F29" s="93" t="s">
        <v>196</v>
      </c>
      <c r="G29" s="78"/>
      <c r="H29">
        <v>16.420000000000002</v>
      </c>
      <c r="I29" s="17" t="s">
        <v>230</v>
      </c>
    </row>
    <row r="30" spans="1:9" ht="15.75" thickBot="1" x14ac:dyDescent="0.3">
      <c r="A30">
        <v>1</v>
      </c>
      <c r="B30" s="134"/>
      <c r="C30" s="89" t="s">
        <v>197</v>
      </c>
      <c r="D30" s="89" t="s">
        <v>52</v>
      </c>
      <c r="E30" s="89"/>
      <c r="F30" s="93" t="s">
        <v>198</v>
      </c>
      <c r="G30" s="78"/>
    </row>
    <row r="31" spans="1:9" ht="15.75" thickBot="1" x14ac:dyDescent="0.3">
      <c r="A31">
        <v>1</v>
      </c>
      <c r="B31" s="134"/>
      <c r="C31" s="89" t="s">
        <v>199</v>
      </c>
      <c r="D31" s="89" t="s">
        <v>54</v>
      </c>
      <c r="E31" s="89"/>
      <c r="F31" s="97" t="s">
        <v>200</v>
      </c>
      <c r="G31" s="78"/>
    </row>
    <row r="32" spans="1:9" ht="15.75" thickBot="1" x14ac:dyDescent="0.3">
      <c r="A32">
        <v>1</v>
      </c>
      <c r="B32" s="135"/>
      <c r="C32" s="89" t="s">
        <v>201</v>
      </c>
      <c r="D32" s="89" t="s">
        <v>56</v>
      </c>
      <c r="E32" s="89"/>
      <c r="F32" s="93" t="s">
        <v>202</v>
      </c>
      <c r="G32" s="78"/>
    </row>
    <row r="33" spans="1:7" ht="15.75" thickBot="1" x14ac:dyDescent="0.3">
      <c r="B33" s="98"/>
      <c r="C33" s="90"/>
      <c r="D33" s="89"/>
      <c r="E33" s="89"/>
      <c r="F33" s="89"/>
      <c r="G33" s="78"/>
    </row>
    <row r="34" spans="1:7" ht="15.75" thickBot="1" x14ac:dyDescent="0.3">
      <c r="A34">
        <v>1</v>
      </c>
      <c r="B34" s="99" t="s">
        <v>203</v>
      </c>
      <c r="C34" s="77" t="s">
        <v>68</v>
      </c>
      <c r="D34" s="3"/>
      <c r="E34" s="77" t="s">
        <v>69</v>
      </c>
      <c r="F34" s="100" t="s">
        <v>204</v>
      </c>
      <c r="G34" s="78"/>
    </row>
    <row r="35" spans="1:7" ht="15.75" thickBot="1" x14ac:dyDescent="0.3">
      <c r="B35" s="83"/>
      <c r="C35" s="91"/>
      <c r="D35" s="83"/>
      <c r="E35" s="83"/>
      <c r="F35" s="83"/>
      <c r="G35" s="78"/>
    </row>
    <row r="36" spans="1:7" ht="15.75" thickBot="1" x14ac:dyDescent="0.3">
      <c r="A36">
        <v>1</v>
      </c>
      <c r="B36" s="126" t="s">
        <v>79</v>
      </c>
      <c r="C36" s="94" t="s">
        <v>76</v>
      </c>
      <c r="D36" s="96"/>
      <c r="E36" s="94" t="s">
        <v>77</v>
      </c>
      <c r="F36" s="101" t="s">
        <v>205</v>
      </c>
      <c r="G36" s="78"/>
    </row>
    <row r="37" spans="1:7" ht="15.75" thickBot="1" x14ac:dyDescent="0.3">
      <c r="A37">
        <v>1</v>
      </c>
      <c r="B37" s="127"/>
      <c r="C37" s="77" t="s">
        <v>80</v>
      </c>
      <c r="D37" s="3"/>
      <c r="E37" s="77" t="s">
        <v>81</v>
      </c>
      <c r="F37" s="100" t="s">
        <v>206</v>
      </c>
      <c r="G37" s="78"/>
    </row>
    <row r="38" spans="1:7" ht="15.75" thickBot="1" x14ac:dyDescent="0.3">
      <c r="A38">
        <v>1</v>
      </c>
      <c r="B38" s="127"/>
      <c r="C38" s="77" t="s">
        <v>83</v>
      </c>
      <c r="D38" s="3"/>
      <c r="E38" s="77" t="s">
        <v>84</v>
      </c>
      <c r="F38" s="100" t="s">
        <v>207</v>
      </c>
      <c r="G38" s="78"/>
    </row>
    <row r="39" spans="1:7" ht="15.75" thickBot="1" x14ac:dyDescent="0.3">
      <c r="A39">
        <v>1</v>
      </c>
      <c r="B39" s="128"/>
      <c r="C39" s="77" t="s">
        <v>86</v>
      </c>
      <c r="D39" s="3"/>
      <c r="E39" s="77" t="s">
        <v>87</v>
      </c>
      <c r="F39" s="100" t="s">
        <v>208</v>
      </c>
      <c r="G39" s="78"/>
    </row>
    <row r="40" spans="1:7" ht="15.75" thickBot="1" x14ac:dyDescent="0.3">
      <c r="B40" s="83"/>
      <c r="C40" s="91"/>
      <c r="D40" s="83"/>
      <c r="E40" s="83"/>
      <c r="F40" s="83"/>
      <c r="G40" s="102"/>
    </row>
    <row r="41" spans="1:7" ht="15.75" thickBot="1" x14ac:dyDescent="0.3">
      <c r="A41">
        <v>1</v>
      </c>
      <c r="B41" s="126" t="s">
        <v>92</v>
      </c>
      <c r="C41" s="94" t="s">
        <v>89</v>
      </c>
      <c r="D41" s="96"/>
      <c r="E41" s="94" t="s">
        <v>90</v>
      </c>
      <c r="F41" s="101" t="s">
        <v>209</v>
      </c>
      <c r="G41" s="103"/>
    </row>
    <row r="42" spans="1:7" ht="15.75" thickBot="1" x14ac:dyDescent="0.3">
      <c r="A42">
        <v>1</v>
      </c>
      <c r="B42" s="127"/>
      <c r="C42" s="77" t="s">
        <v>93</v>
      </c>
      <c r="D42" s="3"/>
      <c r="E42" s="77" t="s">
        <v>94</v>
      </c>
      <c r="F42" s="100" t="s">
        <v>210</v>
      </c>
      <c r="G42" s="78"/>
    </row>
    <row r="43" spans="1:7" ht="15.75" thickBot="1" x14ac:dyDescent="0.3">
      <c r="A43">
        <v>1</v>
      </c>
      <c r="B43" s="128"/>
      <c r="C43" s="77" t="s">
        <v>96</v>
      </c>
      <c r="D43" s="3"/>
      <c r="E43" s="77" t="s">
        <v>97</v>
      </c>
      <c r="F43" s="100" t="s">
        <v>211</v>
      </c>
      <c r="G43" s="78"/>
    </row>
    <row r="45" spans="1:7" x14ac:dyDescent="0.25">
      <c r="A45">
        <f>SUM(A4:A43)</f>
        <v>33</v>
      </c>
    </row>
    <row r="46" spans="1:7" x14ac:dyDescent="0.25">
      <c r="A46">
        <v>13</v>
      </c>
    </row>
    <row r="48" spans="1:7" x14ac:dyDescent="0.25">
      <c r="A48">
        <f>13*100</f>
        <v>1300</v>
      </c>
    </row>
    <row r="49" spans="1:1" x14ac:dyDescent="0.25">
      <c r="A49">
        <f>+A48/33</f>
        <v>39.393939393939391</v>
      </c>
    </row>
  </sheetData>
  <mergeCells count="7">
    <mergeCell ref="B41:B43"/>
    <mergeCell ref="B4:B11"/>
    <mergeCell ref="B13:B14"/>
    <mergeCell ref="B16:B19"/>
    <mergeCell ref="B21:B25"/>
    <mergeCell ref="B27:B32"/>
    <mergeCell ref="B36:B3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20200812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de la Rosa</dc:creator>
  <cp:lastModifiedBy>Alejandro de la Rosa</cp:lastModifiedBy>
  <dcterms:created xsi:type="dcterms:W3CDTF">2020-11-26T14:33:29Z</dcterms:created>
  <dcterms:modified xsi:type="dcterms:W3CDTF">2020-12-08T18:25:23Z</dcterms:modified>
</cp:coreProperties>
</file>